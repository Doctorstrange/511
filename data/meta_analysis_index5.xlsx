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strangemax/syncthing/cirfolder/DATASCIENCE FOR HEALTH/PROJECT/QRISK/"/>
    </mc:Choice>
  </mc:AlternateContent>
  <xr:revisionPtr revIDLastSave="0" documentId="8_{B55A7E79-66FD-A144-B10E-520355EF515C}" xr6:coauthVersionLast="47" xr6:coauthVersionMax="47" xr10:uidLastSave="{00000000-0000-0000-0000-000000000000}"/>
  <bookViews>
    <workbookView xWindow="76380" yWindow="2500" windowWidth="26160" windowHeight="28200" xr2:uid="{46880E86-C0C8-3D4B-A0E3-CE8C09DEF960}"/>
  </bookViews>
  <sheets>
    <sheet name="meta_analysis_Index"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<sst xmlns="http://schemas.openxmlformats.org/spreadsheetml/2006/main" count="995" uniqueCount="339">
  <si>
    <t>Number</t>
  </si>
  <si>
    <t>Index</t>
  </si>
  <si>
    <t>Author</t>
  </si>
  <si>
    <t>Title</t>
  </si>
  <si>
    <t>Sample_size</t>
  </si>
  <si>
    <t>Study_Year</t>
  </si>
  <si>
    <t>Disease_Group</t>
  </si>
  <si>
    <t>QRISK_Version</t>
  </si>
  <si>
    <t>Outcome</t>
  </si>
  <si>
    <t>AUC</t>
  </si>
  <si>
    <t>Calibration</t>
  </si>
  <si>
    <t>Follow-Up</t>
  </si>
  <si>
    <t>Country</t>
  </si>
  <si>
    <t>Participants</t>
  </si>
  <si>
    <t>Predictors2</t>
  </si>
  <si>
    <t>Outcome3</t>
  </si>
  <si>
    <t>Analysis</t>
  </si>
  <si>
    <t>Overall</t>
  </si>
  <si>
    <t>Metanalysis</t>
  </si>
  <si>
    <t>Confidence_interval</t>
  </si>
  <si>
    <t>Dscrimination</t>
  </si>
  <si>
    <t>QRISK_2</t>
  </si>
  <si>
    <t>QRISK_3</t>
  </si>
  <si>
    <t>Outcome_type</t>
  </si>
  <si>
    <t>Outcome_Description</t>
  </si>
  <si>
    <t>Applicability</t>
  </si>
  <si>
    <t>Include</t>
  </si>
  <si>
    <t>PA</t>
  </si>
  <si>
    <t>PR</t>
  </si>
  <si>
    <t>OT</t>
  </si>
  <si>
    <t>OA</t>
  </si>
  <si>
    <t>Study_2</t>
  </si>
  <si>
    <t>Single_vs_multi-centre</t>
  </si>
  <si>
    <t>Events</t>
  </si>
  <si>
    <t>Mean_age</t>
  </si>
  <si>
    <t>SD_age</t>
  </si>
  <si>
    <t>Male</t>
  </si>
  <si>
    <t>Female</t>
  </si>
  <si>
    <t>Sensitivity_clean</t>
  </si>
  <si>
    <t>Specificity_clean</t>
  </si>
  <si>
    <t>Calibration_shot</t>
  </si>
  <si>
    <t xml:space="preserve">Enguita-German et al. (T2DM-2025) </t>
  </si>
  <si>
    <t>01 External validation of cardiovascular risk scores?in patients with Type 2 diabetes using the?Spanish population-based CARDIANA cohort</t>
  </si>
  <si>
    <t>Diabetes (T2DM)</t>
  </si>
  <si>
    <t>QRISK2</t>
  </si>
  <si>
    <t>Not reported</t>
  </si>
  <si>
    <t>CV death, non-fatal MI, non-fatal stroke</t>
  </si>
  <si>
    <t>0.663 (0.646 - 0.681)</t>
  </si>
  <si>
    <t>CITL men and women -1.292 -1.455 (type 1 recalibration)    
slope = 0.897 1.008 (type 2)observed and expected = men - women 0.057 0.037baseline survival =men - women  0.941 0.962</t>
  </si>
  <si>
    <t>5 years</t>
  </si>
  <si>
    <t>Spain</t>
  </si>
  <si>
    <t>LOW</t>
  </si>
  <si>
    <t>HIGH</t>
  </si>
  <si>
    <t>Pooled</t>
  </si>
  <si>
    <t>Harrell's C-index</t>
  </si>
  <si>
    <t>Appropriate</t>
  </si>
  <si>
    <t>CVD</t>
  </si>
  <si>
    <t>01 Enguita-German</t>
  </si>
  <si>
    <t>Multi-centre</t>
  </si>
  <si>
    <t>Not provided</t>
  </si>
  <si>
    <t>OVER-estimation of risk in original model; good calibration only after Type 1 recalibration (calibration plots, deciles)</t>
  </si>
  <si>
    <t>Azoulay et al. (SLE-2025)</t>
  </si>
  <si>
    <t>03 Performance of SCORE2, QRISK3 and PREVENT equations in systemic lupus erythematosus</t>
  </si>
  <si>
    <t>Systemic Lupus Erythematosus (SLE)</t>
  </si>
  <si>
    <t>QRISK3</t>
  </si>
  <si>
    <t xml:space="preserve"> The primary outcome was incident ASCVD events de ned as
coronary artery disease (CAD), stroke and peripheral artery disease (PAD). The secondary outcome was CAC presence
(CAC score &gt;0). Discrimination and calibration were respectively assessed by areas under the curve (AUCs) and
observed-to-predicted risk ratios.
</t>
  </si>
  <si>
    <t>0.76 (0.57–0.93)</t>
  </si>
  <si>
    <t>slight underestimation
Observed-to-Predicted Risk Ratio = 0.85</t>
  </si>
  <si>
    <t>7 years (IQR 3–9 years)</t>
  </si>
  <si>
    <t>France</t>
  </si>
  <si>
    <t>Reported</t>
  </si>
  <si>
    <t>03 Azoulay 2025 (Lupus)</t>
  </si>
  <si>
    <t>Single-centre</t>
  </si>
  <si>
    <t>83%</t>
  </si>
  <si>
    <t>71%</t>
  </si>
  <si>
    <t xml:space="preserve">GOOD calibration (mean observed:predicted ratio 0.85) </t>
  </si>
  <si>
    <t>Krishna et al. (T1 &amp; T2DM-2024)</t>
  </si>
  <si>
    <t>04 Cardiovascular disease risk prediction and profiling amongAsian Indians with young-onset type 1 and type 2 diabetes</t>
  </si>
  <si>
    <t>Diabetes (T1DM &amp; T2DM)</t>
  </si>
  <si>
    <t>Incident CVD: documented MI, CABG/angioplasty,
 or ECG changes (Minnesota codes). Stroke and PAD excluded</t>
  </si>
  <si>
    <t>0.788 (0.713–0.863)</t>
  </si>
  <si>
    <t>good calibration (no systematic over/under),
 calibration intercept −0.00 (−0.3 to 0.3); 
slope 1.00 (0.7 to 1.3)</t>
  </si>
  <si>
    <t>1 - 12 years
Longitudinal until end of 2022</t>
  </si>
  <si>
    <t>India</t>
  </si>
  <si>
    <t>Approximated</t>
  </si>
  <si>
    <t>Somewhat_Appropriate</t>
  </si>
  <si>
    <t>CVD( not including peripheral arte-
rial disease and strok) + coronary artery bypass graft or angioplasty</t>
  </si>
  <si>
    <t>04 Aswath Krishna 2025 (Diabet Med)</t>
  </si>
  <si>
    <t>Not reported for whole cohort (low-risk 38.2, high-risk 49.5)</t>
  </si>
  <si>
    <t>Not reported for whole cohort (low-risk 4.7, high-risk 8.6)</t>
  </si>
  <si>
    <t>GOOD calibration (whole QRISK3 cohort: intercept -0.00 [-0.3 to 0.3]; slope 1.00 [0.7-1.3])</t>
  </si>
  <si>
    <t>5a</t>
  </si>
  <si>
    <t>Llorca et al. (RA-2012)</t>
  </si>
  <si>
    <t>05 Performance of four cardiovascular risk scales in chronic inflammatory rheumatic disease patients/ 10-year follow-up data</t>
  </si>
  <si>
    <t xml:space="preserve">
 Rheumatoid Arthritis (RA)</t>
  </si>
  <si>
    <t>First CV event: ischaemic heart disease, heart failure, 
TIA, stroke, peripheral arterial disease</t>
  </si>
  <si>
    <t>Calibration plot
RA subgroup — Underestimated.
PsA - Underestimated
AS - Underestimated
HR 1.04 (1.03–1.05)</t>
  </si>
  <si>
    <t>10 years</t>
  </si>
  <si>
    <t>UNCLEAR</t>
  </si>
  <si>
    <t>Heller’s K</t>
  </si>
  <si>
    <t>05 Llorca 2025 (CARMA)</t>
  </si>
  <si>
    <t>Not reported by disease subgroup (whole cohort 58.7)</t>
  </si>
  <si>
    <t>Not reported by disease subgroup (whole cohort 13.2)</t>
  </si>
  <si>
    <t>Not reported by disease subgroup (whole cohort 49.4% male)</t>
  </si>
  <si>
    <t>OVER-estimation (QRISK3 predicted risk mostly above the Nelson-Aalen observed band in RA; PREVENT-CVD only accurate scale in RA)</t>
  </si>
  <si>
    <t>5b</t>
  </si>
  <si>
    <t>Llorca et al. (AS-2012)</t>
  </si>
  <si>
    <t xml:space="preserve"> Ankylosing Spondylitis (AS)</t>
  </si>
  <si>
    <t>First cardiovascular event (fatal or non-fatal)
ischemic heart disease, heart failure, transient ischemic attack,
stroke and peripheral arterial disease (e.g. limb claudication).</t>
  </si>
  <si>
    <t>Calibration plot</t>
  </si>
  <si>
    <t>GOOD at cohort level (within Nelson-Aalen band), but calibration plot shows some UNDER-estimation in AS</t>
  </si>
  <si>
    <t>5c</t>
  </si>
  <si>
    <t>Llorca et al. (PsA-2012)</t>
  </si>
  <si>
    <t xml:space="preserve"> Psoriatic Arthritis (PsA)</t>
  </si>
  <si>
    <t>GOOD (predictions close to the diagonal on calibration plot; within Nelson-Aalen band)</t>
  </si>
  <si>
    <t>6a</t>
  </si>
  <si>
    <t>Hughes et al. (Ps-2025)</t>
  </si>
  <si>
    <t>06 External validation of the accuracy of cardiovascular risk prediction tools in psoriatic disease/ a {UK} Biobank study</t>
  </si>
  <si>
    <t>Psoriasis</t>
  </si>
  <si>
    <t>CVD per QRISK3 definition
 (CHD, cerebrovascular, PAD, heart failure; hospital ICD + death)</t>
  </si>
  <si>
    <t>0.74 (0.72–0.76)</t>
  </si>
  <si>
    <t>overpredicted risk</t>
  </si>
  <si>
    <t>UK</t>
  </si>
  <si>
    <t>06 Hughes 2025 (UK Biobank)</t>
  </si>
  <si>
    <t>Not reported rate 7.5%</t>
  </si>
  <si>
    <t>Not reported in main text (supplementary Table S1)</t>
  </si>
  <si>
    <t>Not reported (overall reported 171,283 M : 231663 F )</t>
  </si>
  <si>
    <t>POOR - OVER-estimation, most marked in the highest-risk individuals; reasonably calibrated at low risk</t>
  </si>
  <si>
    <t>6b</t>
  </si>
  <si>
    <t>Hughes et al. (PsA-2025)</t>
  </si>
  <si>
    <t>Psoriatic Arthritis (PsA)</t>
  </si>
  <si>
    <t xml:space="preserve">
0.70 (0.64–0.76)</t>
  </si>
  <si>
    <t>Not reported rate 9.1%</t>
  </si>
  <si>
    <t>POOR - OVER-estimation of risk (QRISK3 overpredicted in each decile of predicted risk; worst over-prediction in highest-risk deciles)</t>
  </si>
  <si>
    <t>6c</t>
  </si>
  <si>
    <t>Hughes et al. (RA-2025)</t>
  </si>
  <si>
    <t>Rheumatoid Arthritis (RA)</t>
  </si>
  <si>
    <t>0.716 (0.69–0.74)</t>
  </si>
  <si>
    <t>Not reported rate 10.2%</t>
  </si>
  <si>
    <t>POOR - OVER-estimation, most marked in the highest-risk individuals</t>
  </si>
  <si>
    <t>Rosário et al. (SLE-2025)</t>
  </si>
  <si>
    <t>07 Comparison of Cardiovascular Risk Scores Performances in a Contemporary Mixed-Ancestry Systemic Lupus Erythematosus Population</t>
  </si>
  <si>
    <t>Composite: MI, angina, stroke, or TIA
CVD was described as fatal and nonfatal coronary
heart disease (angina or MI), ischemic stroke, and transient
ischemic attack.15 The race was self-declared</t>
  </si>
  <si>
    <t>0.703(0.603–0.804)</t>
  </si>
  <si>
    <t>Not specifically detailed (noted low sensitivity for high-risk threshold)</t>
  </si>
  <si>
    <t>Brazil</t>
  </si>
  <si>
    <t>07 Rosario 2025 (J Clin Rheumatol)</t>
  </si>
  <si>
    <t>37.9</t>
  </si>
  <si>
    <t>11.4</t>
  </si>
  <si>
    <t>NOT PROVIDED as formal calibration (no calibration plot/O:E ratio); mean QRISK3 higher in those with events (10.1% vs 5.7%), but low sensitivity implies UNDER-detection at the 10% threshold</t>
  </si>
  <si>
    <t>8a</t>
  </si>
  <si>
    <t>Hughes et al. (RA-2023)</t>
  </si>
  <si>
    <t>08 The predictive accuracy of cardiovascular disease risk?prediction tools in inflammatory arthritis and psoriasis/ an?observational validation study using the Clinical Practice?Research Datalink</t>
  </si>
  <si>
    <t>Composite: MI, stroke, and cardiovascular death
The CVD outcomes broadly included:
Coronary heart disease
Cerebrovascular events
Peripheral artery disease
Heart failure
Participants were followed until the first occurrence of:
A CVD event,
Death,
End of data collection,
Or 10 years of follow-up.</t>
  </si>
  <si>
    <t xml:space="preserve">
0.752 (0.734–0.777)</t>
  </si>
  <si>
    <t>Generally overpredicted CVD risk, especially in high-risk individuals 
calibration plot</t>
  </si>
  <si>
    <t>08 Hughes 2024 (CPRD Aurum)</t>
  </si>
  <si>
    <t>56.9</t>
  </si>
  <si>
    <t>Not reported overall (no CVD 55.7 [15.1]; CVD 66.8 [11.8])</t>
  </si>
  <si>
    <t>OVER-estimation</t>
  </si>
  <si>
    <t>8b</t>
  </si>
  <si>
    <t>Hughes et al. (AS-2023)</t>
  </si>
  <si>
    <t>Ankylosing Spondylitis (AS)</t>
  </si>
  <si>
    <t xml:space="preserve">
0.794 (0.764–0.812)</t>
  </si>
  <si>
    <t>47.3</t>
  </si>
  <si>
    <t>Not reported overall (no CVD 46.2 [15.4]; CVD 62.7 [13.4])</t>
  </si>
  <si>
    <t>8c</t>
  </si>
  <si>
    <t>Hughes et al. (PsA-2023)</t>
  </si>
  <si>
    <t>0.764 (0.741–0.791)</t>
  </si>
  <si>
    <t>47.2</t>
  </si>
  <si>
    <t>Not reported overall (no CVD 46.4 [13.4]; CVD 58.9 [11.8])</t>
  </si>
  <si>
    <t>8d</t>
  </si>
  <si>
    <t>Hughes et al. (Ps-2023)</t>
  </si>
  <si>
    <t xml:space="preserve">
0.815 (0.789–0.835)</t>
  </si>
  <si>
    <t>42.0</t>
  </si>
  <si>
    <t>Not reported overall (no CVD 41.0 [16.7]; CVD 62.2 [13.5])</t>
  </si>
  <si>
    <t>Panopoulos et al. (SLE-2023)</t>
  </si>
  <si>
    <t>14 Generic and disease-adapted?cardiovascular risk scores as predictors?of atherosclerosis progression in SLE</t>
  </si>
  <si>
    <t>Atherosclerosis progression (new carotid plaque formation)</t>
  </si>
  <si>
    <t>0.754 (0.64–0.87)</t>
  </si>
  <si>
    <t>3.8 months</t>
  </si>
  <si>
    <t>Greece</t>
  </si>
  <si>
    <t>Not_Appropriate</t>
  </si>
  <si>
    <t>carotid plaque formation</t>
  </si>
  <si>
    <t>14 Panopoulos 2023 (Lupus Sci Med)</t>
  </si>
  <si>
    <t>44.4</t>
  </si>
  <si>
    <t>11.7</t>
  </si>
  <si>
    <t>NOT PROVIDED</t>
  </si>
  <si>
    <t>Mu et al. (T2DM-2022)</t>
  </si>
  <si>
    <t>16 Assessment of QRISK3 as a predictor of cardiovascular disease events in type 2 diabetes mellitus</t>
  </si>
  <si>
    <t>The outcome was the occurrence of a first cardiovascular disease (CVD) event during follow-up. 
Patients who experienced a first CVD event were classified as 
"CVD patients", while those without an event were classified as "Non-CVD patients."</t>
  </si>
  <si>
    <t>0.878 (0.841–0.915)</t>
  </si>
  <si>
    <t>not reported</t>
  </si>
  <si>
    <t xml:space="preserve"> 8.68 ± 1.86years.</t>
  </si>
  <si>
    <t>China</t>
  </si>
  <si>
    <t>16 Mu 2022 (Front Endocrinol)</t>
  </si>
  <si>
    <t>Not reported overall (non-CVD 47.3; CVD 59.5)</t>
  </si>
  <si>
    <t>Not reported overall (non-CVD 11.7; CVD 10.1)</t>
  </si>
  <si>
    <t>Quevedo-Abeledo et al. (SLE-2022)</t>
  </si>
  <si>
    <t>18 {QRISK}3 relation to carotid plaque is higer than that of score in patients with systemic lupus erythematosus</t>
  </si>
  <si>
    <t>Presence of subclinical carotid plaque (via ultrasound)</t>
  </si>
  <si>
    <t>0.765 (0.711–0.820)</t>
  </si>
  <si>
    <t>Not detailed for QRISK3 (study focused on subclinical atherosclerosis)</t>
  </si>
  <si>
    <t>Cross-sectional</t>
  </si>
  <si>
    <t>18 Quevedo-Abeledo 2022 (Rheumatology)</t>
  </si>
  <si>
    <t>51</t>
  </si>
  <si>
    <t>12</t>
  </si>
  <si>
    <t>19a</t>
  </si>
  <si>
    <t>Dziopa K et al. (T2DM-Q2-2022)</t>
  </si>
  <si>
    <t>19 Cardiovascular risk prediction in type 2 diabetes/ a comparison of 22 risk scores in primary care settings</t>
  </si>
  <si>
    <t>The primary outcome was the occurrence of a 10-year cardiovascular disease (CVD) event after the diagnosis of type 2 diabetes.
The study evaluated two main outcome definitions:
CVD:
Fatal or non-fatal myocardial infarction (MI)
Sudden cardiac death
Ischaemic heart disease
Fatal or non-fatal stroke
Peripheral artery disease (PAD)
CVD+:
CVD plus
Heart failure (HF)
Atrial fibrillation (AF)
The authors also separately assessed the prediction of CHD, stroke, AF, and HF.</t>
  </si>
  <si>
    <t>0.664 (0.660 - 0.667)</t>
  </si>
  <si>
    <t>19 Dziopa et al., 2022 (Diabetologia)</t>
  </si>
  <si>
    <t>59.3</t>
  </si>
  <si>
    <t>13.9</t>
  </si>
  <si>
    <t>Under-estimation of risk before recalibration (calibration slope &lt;1; CVD+ CS 0.69, CIL -0.25 - described as near-perfect for CVD+). Near-perfect calibration after simple recalibration (CS 0.96-1.04)</t>
  </si>
  <si>
    <t>19b</t>
  </si>
  <si>
    <t>Dziopa K et al. (T2DM-Q3-2022)</t>
  </si>
  <si>
    <t>0.664 (0.660 - 0.668)</t>
  </si>
  <si>
    <t xml:space="preserve"> Nedogoda et al. (MetS-2021)</t>
  </si>
  <si>
    <t>21 Identifying Early Vascular Ageing in Patients With Metabolic Syndrome/ Unresolved Issues and a Proposed Novel {VAmets} Score</t>
  </si>
  <si>
    <t>Metabolic Syndrome (MetS)</t>
  </si>
  <si>
    <t>outcome being predicted/measured was EVA (Early Vascular Ageing), defined by elevated cfPWV relative to age- and sex-specific reference values</t>
  </si>
  <si>
    <t>0.697 (0.659–0.736)</t>
  </si>
  <si>
    <t>Russia</t>
  </si>
  <si>
    <t xml:space="preserve"> elevated cfPWV</t>
  </si>
  <si>
    <t>21 Nedogoda et al., 2021 (Heart Lung Circ) - VAmets</t>
  </si>
  <si>
    <t>56.8</t>
  </si>
  <si>
    <t>9.8</t>
  </si>
  <si>
    <t>Not provided (AUC only)</t>
  </si>
  <si>
    <t>Carrillo-Palau et al. (IBD-2021)</t>
  </si>
  <si>
    <t>22 Qrisk3 performance in the assessment of cardiovascular risk in patients with inflammatory bowel disease</t>
  </si>
  <si>
    <t>Inflammatory Bowel Disease (IBD)</t>
  </si>
  <si>
    <t>evaluated QRISK3's ability to identify subclinical carotid atherosclerosis (carotid plaque and cIMT)</t>
  </si>
  <si>
    <t>0.812 (0.748–0.875)</t>
  </si>
  <si>
    <t>22 Carrillo-Palau et al., 2021 (J Clin Med)</t>
  </si>
  <si>
    <t>48</t>
  </si>
  <si>
    <t>10</t>
  </si>
  <si>
    <t>Hong et al. (T2DM-2021)</t>
  </si>
  <si>
    <t>23 Electronic Medical Record Risk Modeling of Cardiovascular Outcomes Among Patients with Type 2 Diabetes</t>
  </si>
  <si>
    <t>Cardiovascular outcomes were coronary heart disease (CHD), heart failure and stroke.</t>
  </si>
  <si>
    <t>0.72 (0.70–0.74)</t>
  </si>
  <si>
    <t>| Model              | Calibration Slope (PI coefficient)    | Intercept |
| QRISK3           | 0.065 (95% CI -0.216–0.346)        | -2.744    |</t>
  </si>
  <si>
    <t>Up to 5 years</t>
  </si>
  <si>
    <t>USA</t>
  </si>
  <si>
    <t>23 Hong et al., 2021 (Diabetes Ther)</t>
  </si>
  <si>
    <t>61.0</t>
  </si>
  <si>
    <t>Poor / miscalibrated: logistic calibration slope on prognostic index 0.065 (SE 0.143, p=0.651), intercept -2.744; failed intercept/slope/joint calibration tests</t>
  </si>
  <si>
    <t>26a</t>
  </si>
  <si>
    <t>Sivakumaran et al. (SLE-Q2-2021)</t>
  </si>
  <si>
    <t>26 Assessment of cardiovascular risk tools as predictors of cardiovascular disease events in systemic lupus erythematosus</t>
  </si>
  <si>
    <t>development of cardiovascular disease (CVD) within 10 years defined as a composite of coronary heart disease, cerebrovascular disease, peripheral artery disease, and heart failure secondary to atherosclerosis</t>
  </si>
  <si>
    <t xml:space="preserve"> 0.72 (0.68–0.76)</t>
  </si>
  <si>
    <t>Canada</t>
  </si>
  <si>
    <t>26 Sivakumaran et al., 2021 (Lupus Sci Med)</t>
  </si>
  <si>
    <t>39</t>
  </si>
  <si>
    <t>15</t>
  </si>
  <si>
    <t>26b</t>
  </si>
  <si>
    <t>Sivakumaran et al. (SLE-Q3-2021)</t>
  </si>
  <si>
    <t>0.67 (0.63–0.71)</t>
  </si>
  <si>
    <t>29b</t>
  </si>
  <si>
    <t>Navarini et al. (AS-Q3-2020)</t>
  </si>
  <si>
    <t>29 Cardiovascular Risk Prediction in Ankylosing Spondylitis/ From Traditional Scores to Machine Learning Assessment</t>
  </si>
  <si>
    <t>The primary outcome was the first CV event (fatal and non-fatal), as reported by electronic patient files. Considered CV events were: sudden cardiac death, coronary artery diseases (CAD) (stable and unstable angina pectoris, myocardial infarction), cerebral vascular accident (CVA), transient ischemic attack (TIA), peripheral artery disease (PAD), and heart failure (HF).</t>
  </si>
  <si>
    <t>0.66 (0.48–0.84)</t>
  </si>
  <si>
    <t>compared the agreement between observed and predicted cardiovascular (CV) events using the Hosmer–Lemeshow (HL) test
QRISK2 p = 0.079; 
QRISK2-RA p = 0.45; 
QRISK3 p = 0.15; 
QRISK3-RA p = 0.15</t>
  </si>
  <si>
    <t>Italy</t>
  </si>
  <si>
    <t>29 Navarini L et al., 2020 (Rheumatol Ther)</t>
  </si>
  <si>
    <t>QRISK3 &gt;10%: 54.55;  QRISK2 &gt;10%: 54.55</t>
  </si>
  <si>
    <t xml:space="preserve">QRISK3 &gt;10%: 73.73;  QRISK2 &gt;10%: 76.47; </t>
  </si>
  <si>
    <t>Hosmer-Lemeshow NOT significant, i.e. no statistical evidence of poor fit (QRISK2 p=0.079; QRISK2-RA p=0.45; QRISK3 p=0.15; QRISK3-RA p=0.15) - authors attribute this to low power. Calibration plots show a trend to MORE observed than predicted events at low and middle risk = UNDER-estimation at low/middle risk.</t>
  </si>
  <si>
    <t>27b</t>
  </si>
  <si>
    <t>Drosos et al. (SLE-2020)</t>
  </si>
  <si>
    <t>27 Underperformance of clinical risk scores in identifying vascular ultrasound-based high cardiovascular risk in systemic lupus erythematosus</t>
  </si>
  <si>
    <t>identify individuals
with systemic lupus erythematosus (SLE) at high cardiovascular disease (CVD) risk, as defined by the presence of
atherosclerotic plaques</t>
  </si>
  <si>
    <t xml:space="preserve">0.82 (0.76–0.89)
</t>
  </si>
  <si>
    <t>| Risk Score | Any Arterial Site | Carotid Site |
| QRISK3        | 0.38                             | 0.37         |</t>
  </si>
  <si>
    <t>27 Drosos et al., 2021 (Eur J Prev Cardiol)</t>
  </si>
  <si>
    <t>44.8</t>
  </si>
  <si>
    <t>Underestimated</t>
  </si>
  <si>
    <t>Gerasimova EV et al. (RA-2021)</t>
  </si>
  <si>
    <t>28 Application of cardiovascular risk scales to identify carotid atherosclerosis in patients with rheumatoid arthritis</t>
  </si>
  <si>
    <t>Presence of carotid atherosclerotic lesions, assessed by detection of carotid atherosclerotic plaques (ASP) and carotid intima-media thickness (CIMT)</t>
  </si>
  <si>
    <t>0.64 (0.53–0.75)</t>
  </si>
  <si>
    <t>cross-sectional</t>
  </si>
  <si>
    <t>28 Gerasimova EV et al., 2021 (Ter Arkh)</t>
  </si>
  <si>
    <t>73 (at optimal cut-off 6.7%)</t>
  </si>
  <si>
    <t>49 (at optimal cut-off 6.7%)</t>
  </si>
  <si>
    <t>29a</t>
  </si>
  <si>
    <t>Navarini et al. (AS-Q2-2020)</t>
  </si>
  <si>
    <t>0.68 (0.50–0.86)</t>
  </si>
  <si>
    <t>Viswanathan et al. (CKD--2020)</t>
  </si>
  <si>
    <t>32 Integration of estimated glomerular filtration rate biomarker in image-based cardiovascular disease/stroke risk calculator/ A South Asian-Indian diabetes cohort with moderate chronic kidney disease</t>
  </si>
  <si>
    <t>chronic kidney disease (CKD)</t>
  </si>
  <si>
    <t>Predicted outcome: 10-year risk of CVD/stroke
combination of cIMTmax and HbA1c
The study outcome was 10-year cardiovascular disease (CVD)/stroke risk, assessed using the newly developed AECRS2.0 risk calculator and compared against QRISK3. Performance was evaluated using ROC analysis and AUC, with a composite response variable based on HbA1c and carotid atherosclerosis (cIMTmax)</t>
  </si>
  <si>
    <t>0.51 (0.32 - 0.70)</t>
  </si>
  <si>
    <t>HbA1c and carotid ultrasound measurements</t>
  </si>
  <si>
    <t>32 Viswanathan V et al., 2020 (Int Angiol)</t>
  </si>
  <si>
    <t>Navarini et al. (PsA-2018)</t>
  </si>
  <si>
    <t>35 Performances of five risk algorithms in predicting cardiovascular events in patients with Psoriatic Arthritis/ An Italian bicentric study</t>
  </si>
  <si>
    <t>primary outcome was the first CV event (fatal and non-fatal), as report by electronic patient files.
CV events were considered: sudden cardiac death, coronary artery diseases (CAD) (stable and unstable angina pectoris, 
myocardial infarction), cerebral vascular accident (CVA), transient ischemic attack (TIA), peripheral artery disease (PAD) and heart failure.</t>
  </si>
  <si>
    <t>0.8660 (0.79428–0.93772)</t>
  </si>
  <si>
    <t>QRISK2 and QRISK2-RA underestimated CV risk in middle deciles and overestimated CV risk in top deciles, and HL test did not demonstrate poor model fit (p = 0.162).</t>
  </si>
  <si>
    <t>35 Navarini L et al., 2018 (PLoS ONE)</t>
  </si>
  <si>
    <t>UNDER-estimated CV risk in middle deciles and OVER-estimated in top deciles</t>
  </si>
  <si>
    <t>Read et al. (T2DM-2018)</t>
  </si>
  <si>
    <t>36 Performance of cardiovascular disease risk scores in people diagnosed with type 2 diabetes External validation using data from the National Scottish diabetes</t>
  </si>
  <si>
    <t>CVD was defined as any hospital admission or death from myocardial infarction, stroke, unstable angina, transient ischaemic attack, peripheral vascular disease and coronary, carotid, or major amputation procedures between baseline and 1st June 2016</t>
  </si>
  <si>
    <t>0.674 (0.669 -0.679)</t>
  </si>
  <si>
    <t>QRISK2 showed poor calibration and overestimated cardiovascular risk,</t>
  </si>
  <si>
    <t>5 years (4.9 years)</t>
  </si>
  <si>
    <t>36 Read SH et al., 2018, Diabetes Care (Scottish Diabetes Research Network) — doi:10.2337/dc18-0578</t>
  </si>
  <si>
    <t>median age 66.5yrs</t>
  </si>
  <si>
    <t>OVERESTIMATION calibration-in-the-large −0.14; calibration slope 0.376 (0.376–0.377)</t>
  </si>
  <si>
    <t>Shen et al. (PsA-2018)</t>
  </si>
  <si>
    <t>37 Underestimation of risk of carotid subclinical atherosclerosis by cardiovascular risk scores in patients with psoriatic arthritis</t>
  </si>
  <si>
    <t>outcome was carotid subclinical atherosclerosis (SCA), 
defined as maximum carotid intima-media thickness (IMT) &gt; 0.9 mm and/or the presence of carotid plaque detected by ultrasound</t>
  </si>
  <si>
    <t>0.69 ( 0.60 - 0.77)</t>
  </si>
  <si>
    <t>The Hosmer-Lemeshow test revealed moderate goodness of fit for the 4 CV scores (p ranging from 0.087 to 0.686, Figure 2)
| Model    | Calibration Measure                                               | Result                                                         |
| QRISK2 | Hosmer–Lemeshow goodness-of-fit test | Moderate goodness of fit; individual QRISK2 value not reported |</t>
  </si>
  <si>
    <t>Hong Kong, China</t>
  </si>
  <si>
    <t>37 Shen J et al.</t>
  </si>
  <si>
    <t>UNDERESTIMATION. Hosmer–Lemeshow indicated moderate goodness of fit (QRISK2 p=0.132; range 0.087–0.686 across the 4 scores), but the preset &gt;20% cutoff classified 98.2% of SCA+ patients as 'low risk';</t>
  </si>
  <si>
    <t>Alemao et al.(RA-2017)</t>
  </si>
  <si>
    <t>39 Comparison of cardiovascular risk algorithms in patients with vs without rheumatoid arthritis and the role of C-reactive protein in predicting cardiovascular outcomes in rheumatoid arthritis</t>
  </si>
  <si>
    <t>QRISK2 outcome definition
Composite of:
Myocardial infarction
Coronary heart disease (CHD)
Stroke
Transient ischaemic attack (TIA)</t>
  </si>
  <si>
    <t>0.744 (0.714–0.774)</t>
  </si>
  <si>
    <t>evaluated calibration graphically by comparing observed and predicted event rates. IN SUPPLEMENTARY TABLE</t>
  </si>
  <si>
    <t xml:space="preserve">6.0 years </t>
  </si>
  <si>
    <t>39 Alemao et al</t>
  </si>
  <si>
    <t>Arts EEA et al. (RA-2013)</t>
  </si>
  <si>
    <t>40 Performance of four current risk algorithms?in predicting cardiovascular events in patients?with early rheumatoid arthritis</t>
  </si>
  <si>
    <t>The study evaluated the first cardiovascular (CV) event (fatal and non-fatal) occurring during follow-up. The included events were:
Acute/unstable coronary syndrome (myocardial infarction and unstable angina pectoris)
Stable angina pectoris
Cerebral vascular accident (stroke)
Transient ischaemic attack (TIA)
Peripheral vascular disease
Heart failure
Cardiovascular death</t>
  </si>
  <si>
    <t>0.79 (0.75–0.83)</t>
  </si>
  <si>
    <t xml:space="preserve">|Calibration was assessed by comparing the agreement between observed and predicted (calculated by the CV risk algorithms) number of CV events (%) in groups of patients stratified in deciles of the predicted risk. Hosmer-Lemeshow (H-L) tests and calibration plots were used
| Model    | Hosmer–Lemeshow p-value | Calibration Interpretation                         
| QRisk II | 0.20                                                         | Moderate calibration; generally overestimated risk </t>
  </si>
  <si>
    <t>9,957 patient-years of follow-up
9.5 years</t>
  </si>
  <si>
    <t>Netherlands</t>
  </si>
  <si>
    <t>40 Arts EEA et al., 2015, Ann Rheum Dis; 74:668–74 — doi:10.1136/annrheumdis-2013-204024</t>
  </si>
  <si>
    <t>OVERESTIMATION (QRisk II primarily overestimated observed CV risk, most visibly in the upper deciles). Hosmer–Lemeshow p=0.20 = moderate model</t>
  </si>
  <si>
    <t>Not _reported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</si>
</sst>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0"/>
      <name val="Arial"/>
      <family val="2"/>
    </font>
    <font>
      <sz val="12"/>
      <color theme="1"/>
      <name val="Arial"/>
      <family val="2"/>
    </font>
    <font>
      <b/>
      <sz val="12"/>
      <color theme="0"/>
      <name val="Arial"/>
      <family val="2"/>
    </font>
    <font>
      <sz val="12"/>
      <color rgb="FF9C5700"/>
      <name val="Arial"/>
      <family val="2"/>
    </font>
    <font>
      <sz val="12"/>
      <color rgb="FF006100"/>
      <name val="Arial"/>
      <family val="2"/>
    </font>
    <font>
      <b/>
      <sz val="12"/>
      <color rgb="FF006100"/>
      <name val="Arial"/>
      <family val="2"/>
    </font>
    <font>
      <b/>
      <sz val="24"/>
      <color theme="1"/>
      <name val="Arial"/>
      <family val="2"/>
    </font>
    <font>
      <sz val="12"/>
      <color rgb="FF9C0006"/>
      <name val="Arial"/>
      <family val="2"/>
    </font>
  </fonts>
  <fills count="1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theme="8"/>
        <bgColor indexed="64"/>
      </patternFill>
    </fill>
    <fill>
      <patternFill patternType="solid">
        <fgColor theme="1"/>
        <bgColor theme="1"/>
      </patternFill>
    </fill>
    <fill>
      <patternFill patternType="solid">
        <fgColor rgb="FFFFFFFF"/>
        <bgColor rgb="FF000000"/>
      </patternFill>
    </fill>
    <fill>
      <patternFill patternType="solid">
        <fgColor rgb="FFFFC7CE"/>
        <bgColor rgb="FF000000"/>
      </patternFill>
    </fill>
    <fill>
      <patternFill patternType="solid">
        <fgColor theme="0" tint="-0.14999847407452621"/>
        <bgColor theme="0" tint="-0.14999847407452621"/>
      </patternFill>
    </fill>
    <fill>
      <patternFill patternType="solid">
        <fgColor rgb="FFF2F7FB"/>
      </patternFill>
    </fill>
    <fill>
      <patternFill patternType="solid">
        <fgColor rgb="FFFFFFFF"/>
      </patternFill>
    </fill>
    <fill>
      <patternFill patternType="solid">
        <fgColor rgb="FFFFFF00"/>
        <bgColor theme="0" tint="-0.14999847407452621"/>
      </patternFill>
    </fill>
  </fills>
  <borders count="5">
    <border>
      <left/>
      <right/>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cellStyleXfs>
  <cellXfs count="43">
    <xf numFmtId="0" fontId="0" fillId="0" borderId="0" xfId="0"/>
    <xf numFmtId="0" fontId="1" fillId="2" borderId="0" xfId="1"/>
    <xf numFmtId="0" fontId="4" fillId="8" borderId="3" xfId="0" applyFont="1" applyFill="1" applyBorder="1" applyAlignment="1">
      <alignment horizontal="center" vertical="top" wrapText="1"/>
    </xf>
    <xf numFmtId="0" fontId="4" fillId="8" borderId="4" xfId="0" applyFont="1" applyFill="1" applyBorder="1" applyAlignment="1">
      <alignment horizontal="center" vertical="top" wrapText="1"/>
    </xf>
    <xf numFmtId="3" fontId="4" fillId="8" borderId="4" xfId="0" applyNumberFormat="1" applyFont="1" applyFill="1" applyBorder="1" applyAlignment="1">
      <alignment horizontal="center" vertical="top" wrapText="1"/>
    </xf>
    <xf numFmtId="0" fontId="4" fillId="11" borderId="3" xfId="0" applyFont="1" applyFill="1" applyBorder="1" applyAlignment="1">
      <alignment horizontal="center" vertical="top" wrapText="1"/>
    </xf>
    <xf numFmtId="0" fontId="4" fillId="12" borderId="3" xfId="0" applyFont="1" applyFill="1" applyBorder="1" applyAlignment="1">
      <alignment horizontal="center" vertical="top" wrapText="1"/>
    </xf>
    <xf numFmtId="3" fontId="4" fillId="12" borderId="3" xfId="0" applyNumberFormat="1" applyFont="1" applyFill="1" applyBorder="1" applyAlignment="1">
      <alignment horizontal="center" vertical="top" wrapText="1"/>
    </xf>
    <xf numFmtId="10" fontId="4" fillId="12" borderId="3" xfId="0" applyNumberFormat="1" applyFont="1" applyFill="1" applyBorder="1" applyAlignment="1">
      <alignment horizontal="center" vertical="top" wrapText="1"/>
    </xf>
    <xf numFmtId="10" fontId="4" fillId="11" borderId="3" xfId="0" applyNumberFormat="1" applyFont="1" applyFill="1" applyBorder="1" applyAlignment="1">
      <alignment horizontal="center" vertical="top" wrapText="1"/>
    </xf>
    <xf numFmtId="0" fontId="4" fillId="0" borderId="3" xfId="0" applyFont="1" applyBorder="1" applyAlignment="1">
      <alignment horizontal="center" vertical="top" wrapText="1"/>
    </xf>
    <xf numFmtId="3" fontId="4" fillId="0" borderId="3" xfId="0" applyNumberFormat="1" applyFont="1" applyBorder="1" applyAlignment="1">
      <alignment horizontal="center" vertical="top" wrapText="1"/>
    </xf>
    <xf numFmtId="0" fontId="4" fillId="5" borderId="3" xfId="0" applyFont="1" applyFill="1" applyBorder="1" applyAlignment="1">
      <alignment horizontal="center" vertical="top" wrapText="1"/>
    </xf>
    <xf numFmtId="3" fontId="4" fillId="5" borderId="3" xfId="0" applyNumberFormat="1" applyFont="1" applyFill="1" applyBorder="1" applyAlignment="1">
      <alignment horizontal="center" vertical="top" wrapText="1"/>
    </xf>
    <xf numFmtId="10" fontId="4" fillId="0" borderId="3" xfId="0" applyNumberFormat="1" applyFont="1" applyBorder="1" applyAlignment="1">
      <alignment horizontal="center" vertical="top" wrapText="1"/>
    </xf>
    <xf numFmtId="10" fontId="4" fillId="5" borderId="3" xfId="0" applyNumberFormat="1" applyFont="1" applyFill="1" applyBorder="1" applyAlignment="1">
      <alignment horizontal="center" vertical="top" wrapText="1"/>
    </xf>
    <xf numFmtId="9" fontId="4" fillId="12" borderId="3" xfId="0" applyNumberFormat="1" applyFont="1" applyFill="1" applyBorder="1" applyAlignment="1">
      <alignment horizontal="center" vertical="top" wrapText="1"/>
    </xf>
    <xf numFmtId="0" fontId="3" fillId="4" borderId="0" xfId="3"/>
    <xf numFmtId="0" fontId="5" fillId="0" borderId="0" xfId="0" applyFont="1"/>
    <xf numFmtId="0" fontId="6" fillId="6" borderId="1" xfId="0" applyFont="1" applyFill="1" applyBorder="1" applyAlignment="1">
      <alignment horizontal="right" wrapText="1"/>
    </xf>
    <xf numFmtId="0" fontId="6" fillId="6" borderId="2" xfId="0" applyFont="1" applyFill="1" applyBorder="1" applyAlignment="1">
      <alignment horizontal="right" wrapText="1"/>
    </xf>
    <xf numFmtId="0" fontId="7" fillId="4" borderId="2" xfId="3" applyFont="1" applyBorder="1" applyAlignment="1">
      <alignment horizontal="right" wrapText="1"/>
    </xf>
    <xf numFmtId="0" fontId="8" fillId="2" borderId="2" xfId="1" applyFont="1" applyBorder="1" applyAlignment="1">
      <alignment horizontal="right" wrapText="1"/>
    </xf>
    <xf numFmtId="0" fontId="9" fillId="2" borderId="2" xfId="1" applyFont="1" applyBorder="1" applyAlignment="1">
      <alignment horizontal="right"/>
    </xf>
    <xf numFmtId="0" fontId="6" fillId="7" borderId="2" xfId="0" applyFont="1" applyFill="1" applyBorder="1" applyAlignment="1">
      <alignment horizontal="right"/>
    </xf>
    <xf numFmtId="0" fontId="6" fillId="7" borderId="0" xfId="0" applyFont="1" applyFill="1" applyAlignment="1">
      <alignment horizontal="right"/>
    </xf>
    <xf numFmtId="0" fontId="10" fillId="0" borderId="1" xfId="0" applyFont="1" applyBorder="1" applyAlignment="1">
      <alignment horizontal="right" wrapText="1"/>
    </xf>
    <xf numFmtId="0" fontId="10" fillId="0" borderId="2" xfId="0" applyFont="1" applyBorder="1" applyAlignment="1">
      <alignment horizontal="right" wrapText="1"/>
    </xf>
    <xf numFmtId="0" fontId="5" fillId="0" borderId="2" xfId="0" applyFont="1" applyBorder="1" applyAlignment="1">
      <alignment horizontal="right" wrapText="1"/>
    </xf>
    <xf numFmtId="0" fontId="8" fillId="2" borderId="0" xfId="1" applyFont="1"/>
    <xf numFmtId="0" fontId="5" fillId="0" borderId="2" xfId="0" applyFont="1" applyBorder="1" applyAlignment="1">
      <alignment horizontal="right"/>
    </xf>
    <xf numFmtId="0" fontId="11" fillId="9" borderId="4" xfId="0" applyFont="1" applyFill="1" applyBorder="1" applyAlignment="1">
      <alignment horizontal="center" vertical="top" wrapText="1"/>
    </xf>
    <xf numFmtId="0" fontId="10" fillId="10" borderId="1" xfId="0" applyFont="1" applyFill="1" applyBorder="1" applyAlignment="1">
      <alignment horizontal="right" wrapText="1"/>
    </xf>
    <xf numFmtId="0" fontId="10" fillId="10" borderId="2" xfId="0" applyFont="1" applyFill="1" applyBorder="1" applyAlignment="1">
      <alignment horizontal="right" wrapText="1"/>
    </xf>
    <xf numFmtId="0" fontId="5" fillId="10" borderId="2" xfId="0" applyFont="1" applyFill="1" applyBorder="1" applyAlignment="1">
      <alignment horizontal="right" wrapText="1"/>
    </xf>
    <xf numFmtId="0" fontId="5" fillId="10" borderId="2" xfId="0" applyFont="1" applyFill="1" applyBorder="1" applyAlignment="1">
      <alignment horizontal="right"/>
    </xf>
    <xf numFmtId="0" fontId="8" fillId="2" borderId="0" xfId="1" applyFont="1" applyAlignment="1">
      <alignment wrapText="1"/>
    </xf>
    <xf numFmtId="0" fontId="10" fillId="13" borderId="1" xfId="0" applyFont="1" applyFill="1" applyBorder="1" applyAlignment="1">
      <alignment horizontal="right" wrapText="1"/>
    </xf>
    <xf numFmtId="0" fontId="10" fillId="13" borderId="2" xfId="0" applyFont="1" applyFill="1" applyBorder="1" applyAlignment="1">
      <alignment horizontal="right" wrapText="1"/>
    </xf>
    <xf numFmtId="0" fontId="8" fillId="2" borderId="2" xfId="1" applyFont="1" applyBorder="1" applyAlignment="1">
      <alignment horizontal="right"/>
    </xf>
    <xf numFmtId="0" fontId="11" fillId="3" borderId="3" xfId="2" applyFont="1" applyBorder="1" applyAlignment="1">
      <alignment horizontal="center" vertical="top" wrapText="1"/>
    </xf>
    <xf numFmtId="3" fontId="5" fillId="0" borderId="2" xfId="0" applyNumberFormat="1" applyFont="1" applyBorder="1" applyAlignment="1">
      <alignment horizontal="right" wrapText="1"/>
    </xf>
    <xf numFmtId="0" fontId="11" fillId="3" borderId="0" xfId="2" applyFont="1" applyAlignment="1">
      <alignment horizontal="left" wrapText="1"/>
    </xf>
  </cellXfs>
  <cellStyles count="4">
    <cellStyle name="Bad" xfId="2" builtinId="27"/>
    <cellStyle name="Good" xfId="1" builtinId="26"/>
    <cellStyle name="Neutral" xfId="3" builtinId="28"/>
    <cellStyle name="Normal" xfId="0" builtinId="0"/>
  </cellStyles>
  <dxfs count="8">
    <dxf>
      <font>
        <b/>
        <i val="0"/>
        <color theme="0"/>
      </font>
      <fill>
        <patternFill>
          <bgColor rgb="FFFF484B"/>
        </patternFill>
      </fill>
    </dxf>
    <dxf>
      <font>
        <b/>
        <i val="0"/>
        <color theme="0"/>
      </font>
      <fill>
        <patternFill>
          <fgColor rgb="FFFF484B"/>
          <bgColor rgb="FFFF484B"/>
        </patternFill>
      </fill>
    </dxf>
    <dxf>
      <font>
        <b/>
        <i val="0"/>
        <color theme="0"/>
      </font>
      <fill>
        <patternFill>
          <bgColor rgb="FFFF7D6E"/>
        </patternFill>
      </fill>
    </dxf>
    <dxf>
      <font>
        <color rgb="FF9C0006"/>
      </font>
      <fill>
        <patternFill>
          <bgColor rgb="FFFFC7CE"/>
        </patternFill>
      </fill>
    </dxf>
    <dxf>
      <font>
        <b/>
        <i val="0"/>
        <color theme="0"/>
      </font>
      <fill>
        <patternFill>
          <bgColor rgb="FFFF484B"/>
        </patternFill>
      </fill>
    </dxf>
    <dxf>
      <font>
        <b/>
        <i val="0"/>
        <color theme="0"/>
      </font>
      <fill>
        <patternFill>
          <bgColor rgb="FFFF484B"/>
        </patternFill>
      </fill>
    </dxf>
    <dxf>
      <font>
        <b/>
        <i val="0"/>
        <color theme="0"/>
      </font>
      <fill>
        <patternFill>
          <bgColor rgb="FF00B050"/>
        </patternFill>
      </fill>
    </dxf>
    <dxf>
      <font>
        <b/>
        <i val="0"/>
        <color theme="1"/>
      </font>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9247D-81F4-ED42-96BC-F3D7DF12BD58}">
  <dimension ref="A1:AO35"/>
  <sheetViews>
    <sheetView tabSelected="1" workbookViewId="0">
      <pane xSplit="1" topLeftCell="V1" activePane="topRight" state="frozen"/>
      <selection activeCell="A3" sqref="A3"/>
      <selection pane="topRight" activeCell="AA1" sqref="AA1:AA1048576"/>
    </sheetView>
  </sheetViews>
  <sheetFormatPr baseColWidth="10" defaultRowHeight="16" x14ac:dyDescent="0.2"/>
  <cols>
    <col min="3" max="3" width="80.5" customWidth="1"/>
    <col min="4" max="4" width="39.83203125" customWidth="1"/>
    <col min="5" max="5" width="13.5" customWidth="1"/>
    <col min="7" max="7" width="19.83203125" customWidth="1"/>
    <col min="8" max="8" width="15.6640625" customWidth="1"/>
    <col min="9" max="9" width="62.33203125" style="1" customWidth="1"/>
    <col min="10" max="10" width="24.5" customWidth="1"/>
    <col min="11" max="11" width="44.1640625" style="17" customWidth="1"/>
    <col min="14" max="14" width="15" customWidth="1"/>
    <col min="20" max="20" width="19.33203125" customWidth="1"/>
    <col min="21" max="21" width="14.83203125" customWidth="1"/>
    <col min="24" max="24" width="16.1640625" customWidth="1"/>
    <col min="25" max="25" width="20.83203125" customWidth="1"/>
    <col min="26" max="26" width="13.6640625" customWidth="1"/>
    <col min="33" max="33" width="22" customWidth="1"/>
    <col min="39" max="39" width="19.33203125" customWidth="1"/>
    <col min="40" max="40" width="19.1640625" customWidth="1"/>
    <col min="41" max="41" width="23.33203125" customWidth="1"/>
  </cols>
  <sheetData>
    <row r="1" spans="1:41" ht="34" x14ac:dyDescent="0.2">
      <c r="A1" s="18" t="s">
        <v>0</v>
      </c>
      <c r="B1" s="19" t="s">
        <v>1</v>
      </c>
      <c r="C1" s="20" t="s">
        <v>2</v>
      </c>
      <c r="D1" s="20" t="s">
        <v>3</v>
      </c>
      <c r="E1" s="20" t="s">
        <v>4</v>
      </c>
      <c r="F1" s="20" t="s">
        <v>5</v>
      </c>
      <c r="G1" s="20" t="s">
        <v>6</v>
      </c>
      <c r="H1" s="20" t="s">
        <v>7</v>
      </c>
      <c r="I1" s="22" t="s">
        <v>8</v>
      </c>
      <c r="J1" s="20" t="s">
        <v>9</v>
      </c>
      <c r="K1" s="21" t="s">
        <v>10</v>
      </c>
      <c r="L1" s="20" t="s">
        <v>11</v>
      </c>
      <c r="M1" s="20" t="s">
        <v>12</v>
      </c>
      <c r="N1" s="20" t="s">
        <v>13</v>
      </c>
      <c r="O1" s="20" t="s">
        <v>14</v>
      </c>
      <c r="P1" s="20" t="s">
        <v>15</v>
      </c>
      <c r="Q1" s="20" t="s">
        <v>16</v>
      </c>
      <c r="R1" s="20" t="s">
        <v>17</v>
      </c>
      <c r="S1" s="20" t="s">
        <v>18</v>
      </c>
      <c r="T1" s="20" t="s">
        <v>19</v>
      </c>
      <c r="U1" s="20" t="s">
        <v>20</v>
      </c>
      <c r="V1" s="20" t="s">
        <v>21</v>
      </c>
      <c r="W1" s="20" t="s">
        <v>22</v>
      </c>
      <c r="X1" s="20" t="s">
        <v>23</v>
      </c>
      <c r="Y1" s="20" t="s">
        <v>24</v>
      </c>
      <c r="Z1" s="20" t="s">
        <v>25</v>
      </c>
      <c r="AA1" s="23" t="s">
        <v>26</v>
      </c>
      <c r="AB1" s="24" t="s">
        <v>27</v>
      </c>
      <c r="AC1" s="24" t="s">
        <v>28</v>
      </c>
      <c r="AD1" s="24" t="s">
        <v>29</v>
      </c>
      <c r="AE1" s="24" t="s">
        <v>30</v>
      </c>
      <c r="AF1" s="25" t="s">
        <v>31</v>
      </c>
      <c r="AG1" s="25" t="s">
        <v>32</v>
      </c>
      <c r="AH1" s="25" t="s">
        <v>33</v>
      </c>
      <c r="AI1" s="25" t="s">
        <v>34</v>
      </c>
      <c r="AJ1" s="25" t="s">
        <v>35</v>
      </c>
      <c r="AK1" s="25" t="s">
        <v>36</v>
      </c>
      <c r="AL1" s="25" t="s">
        <v>37</v>
      </c>
      <c r="AM1" s="25" t="s">
        <v>38</v>
      </c>
      <c r="AN1" s="25" t="s">
        <v>39</v>
      </c>
      <c r="AO1" s="25" t="s">
        <v>40</v>
      </c>
    </row>
    <row r="2" spans="1:41" ht="102" x14ac:dyDescent="0.3">
      <c r="A2" s="18">
        <v>1</v>
      </c>
      <c r="B2" s="26">
        <v>1</v>
      </c>
      <c r="C2" s="27" t="s">
        <v>41</v>
      </c>
      <c r="D2" s="28" t="s">
        <v>42</v>
      </c>
      <c r="E2" s="28">
        <v>20793</v>
      </c>
      <c r="F2" s="28">
        <v>2025</v>
      </c>
      <c r="G2" s="28" t="s">
        <v>43</v>
      </c>
      <c r="H2" s="28" t="s">
        <v>44</v>
      </c>
      <c r="I2" s="29" t="s">
        <v>46</v>
      </c>
      <c r="J2" s="28" t="s">
        <v>47</v>
      </c>
      <c r="K2" s="21" t="s">
        <v>48</v>
      </c>
      <c r="L2" s="28" t="s">
        <v>49</v>
      </c>
      <c r="M2" s="28" t="s">
        <v>50</v>
      </c>
      <c r="N2" s="28" t="s">
        <v>51</v>
      </c>
      <c r="O2" s="28" t="s">
        <v>51</v>
      </c>
      <c r="P2" s="28" t="s">
        <v>52</v>
      </c>
      <c r="Q2" s="28" t="s">
        <v>51</v>
      </c>
      <c r="R2" s="28" t="s">
        <v>52</v>
      </c>
      <c r="S2" s="28">
        <v>1</v>
      </c>
      <c r="T2" s="28" t="s">
        <v>53</v>
      </c>
      <c r="U2" s="28" t="s">
        <v>54</v>
      </c>
      <c r="V2" s="28">
        <v>1</v>
      </c>
      <c r="W2" s="28">
        <v>0</v>
      </c>
      <c r="X2" s="28" t="s">
        <v>55</v>
      </c>
      <c r="Y2" s="28" t="s">
        <v>56</v>
      </c>
      <c r="Z2" s="28">
        <v>1</v>
      </c>
      <c r="AA2" s="22">
        <v>1</v>
      </c>
      <c r="AB2" s="30" t="s">
        <v>51</v>
      </c>
      <c r="AC2" s="30" t="s">
        <v>51</v>
      </c>
      <c r="AD2" s="30" t="s">
        <v>51</v>
      </c>
      <c r="AE2" s="30" t="s">
        <v>51</v>
      </c>
      <c r="AF2" s="2" t="s">
        <v>57</v>
      </c>
      <c r="AG2" s="3" t="s">
        <v>58</v>
      </c>
      <c r="AH2" s="3">
        <v>991</v>
      </c>
      <c r="AI2" s="3">
        <v>63.5</v>
      </c>
      <c r="AJ2" s="3">
        <v>10.8</v>
      </c>
      <c r="AK2" s="4">
        <v>12225</v>
      </c>
      <c r="AL2" s="4">
        <v>8568</v>
      </c>
      <c r="AM2" s="3" t="s">
        <v>59</v>
      </c>
      <c r="AN2" s="3" t="s">
        <v>59</v>
      </c>
      <c r="AO2" s="31" t="s">
        <v>60</v>
      </c>
    </row>
    <row r="3" spans="1:41" ht="121" x14ac:dyDescent="0.3">
      <c r="A3" s="18">
        <v>3</v>
      </c>
      <c r="B3" s="32">
        <v>3</v>
      </c>
      <c r="C3" s="33" t="s">
        <v>61</v>
      </c>
      <c r="D3" s="34" t="s">
        <v>62</v>
      </c>
      <c r="E3" s="34">
        <v>143</v>
      </c>
      <c r="F3" s="34">
        <v>2025</v>
      </c>
      <c r="G3" s="34" t="s">
        <v>63</v>
      </c>
      <c r="H3" s="34" t="s">
        <v>64</v>
      </c>
      <c r="I3" s="22" t="s">
        <v>65</v>
      </c>
      <c r="J3" s="34" t="s">
        <v>66</v>
      </c>
      <c r="K3" s="21" t="s">
        <v>67</v>
      </c>
      <c r="L3" s="34" t="s">
        <v>68</v>
      </c>
      <c r="M3" s="34" t="s">
        <v>69</v>
      </c>
      <c r="N3" s="34" t="s">
        <v>51</v>
      </c>
      <c r="O3" s="34" t="s">
        <v>51</v>
      </c>
      <c r="P3" s="34" t="s">
        <v>52</v>
      </c>
      <c r="Q3" s="34" t="s">
        <v>52</v>
      </c>
      <c r="R3" s="34" t="s">
        <v>52</v>
      </c>
      <c r="S3" s="34">
        <v>1</v>
      </c>
      <c r="T3" s="34" t="s">
        <v>70</v>
      </c>
      <c r="U3" s="34" t="s">
        <v>9</v>
      </c>
      <c r="V3" s="34">
        <v>0</v>
      </c>
      <c r="W3" s="34">
        <v>1</v>
      </c>
      <c r="X3" s="34" t="s">
        <v>55</v>
      </c>
      <c r="Y3" s="34" t="s">
        <v>56</v>
      </c>
      <c r="Z3" s="34">
        <v>1</v>
      </c>
      <c r="AA3" s="22">
        <v>1</v>
      </c>
      <c r="AB3" s="35" t="s">
        <v>51</v>
      </c>
      <c r="AC3" s="35" t="s">
        <v>51</v>
      </c>
      <c r="AD3" s="35" t="s">
        <v>51</v>
      </c>
      <c r="AE3" s="35" t="s">
        <v>51</v>
      </c>
      <c r="AF3" s="5" t="s">
        <v>71</v>
      </c>
      <c r="AG3" s="5" t="s">
        <v>72</v>
      </c>
      <c r="AH3" s="5">
        <v>12</v>
      </c>
      <c r="AI3" s="5">
        <v>51</v>
      </c>
      <c r="AJ3" s="5" t="s">
        <v>59</v>
      </c>
      <c r="AK3" s="5">
        <v>13</v>
      </c>
      <c r="AL3" s="5">
        <v>130</v>
      </c>
      <c r="AM3" s="5" t="s">
        <v>73</v>
      </c>
      <c r="AN3" s="5" t="s">
        <v>74</v>
      </c>
      <c r="AO3" s="5" t="s">
        <v>75</v>
      </c>
    </row>
    <row r="4" spans="1:41" ht="104" x14ac:dyDescent="0.3">
      <c r="A4" s="18">
        <v>4</v>
      </c>
      <c r="B4" s="26">
        <v>4</v>
      </c>
      <c r="C4" s="27" t="s">
        <v>76</v>
      </c>
      <c r="D4" s="28" t="s">
        <v>77</v>
      </c>
      <c r="E4" s="28">
        <v>5371</v>
      </c>
      <c r="F4" s="28">
        <v>2024</v>
      </c>
      <c r="G4" s="28" t="s">
        <v>78</v>
      </c>
      <c r="H4" s="28" t="s">
        <v>64</v>
      </c>
      <c r="I4" s="36" t="s">
        <v>79</v>
      </c>
      <c r="J4" s="28" t="s">
        <v>80</v>
      </c>
      <c r="K4" s="21" t="s">
        <v>81</v>
      </c>
      <c r="L4" s="28" t="s">
        <v>82</v>
      </c>
      <c r="M4" s="28" t="s">
        <v>83</v>
      </c>
      <c r="N4" s="28" t="s">
        <v>51</v>
      </c>
      <c r="O4" s="28" t="s">
        <v>51</v>
      </c>
      <c r="P4" s="28" t="s">
        <v>52</v>
      </c>
      <c r="Q4" s="28" t="s">
        <v>52</v>
      </c>
      <c r="R4" s="28" t="s">
        <v>52</v>
      </c>
      <c r="S4" s="28">
        <v>1</v>
      </c>
      <c r="T4" s="28" t="s">
        <v>84</v>
      </c>
      <c r="U4" s="28" t="s">
        <v>9</v>
      </c>
      <c r="V4" s="28">
        <v>0</v>
      </c>
      <c r="W4" s="28">
        <v>1</v>
      </c>
      <c r="X4" s="28" t="s">
        <v>85</v>
      </c>
      <c r="Y4" s="28" t="s">
        <v>86</v>
      </c>
      <c r="Z4" s="28">
        <v>1</v>
      </c>
      <c r="AA4" s="22">
        <v>1</v>
      </c>
      <c r="AB4" s="30" t="s">
        <v>51</v>
      </c>
      <c r="AC4" s="30" t="s">
        <v>51</v>
      </c>
      <c r="AD4" s="30" t="s">
        <v>51</v>
      </c>
      <c r="AE4" s="30" t="s">
        <v>51</v>
      </c>
      <c r="AF4" s="6" t="s">
        <v>87</v>
      </c>
      <c r="AG4" s="6" t="s">
        <v>72</v>
      </c>
      <c r="AH4" s="6">
        <v>50</v>
      </c>
      <c r="AI4" s="6" t="s">
        <v>88</v>
      </c>
      <c r="AJ4" s="6" t="s">
        <v>89</v>
      </c>
      <c r="AK4" s="6">
        <v>486</v>
      </c>
      <c r="AL4" s="7">
        <v>4885</v>
      </c>
      <c r="AM4" s="8">
        <v>0.78</v>
      </c>
      <c r="AN4" s="8">
        <v>0.69899999999999995</v>
      </c>
      <c r="AO4" s="6" t="s">
        <v>90</v>
      </c>
    </row>
    <row r="5" spans="1:41" ht="87" x14ac:dyDescent="0.3">
      <c r="A5" s="18">
        <v>5</v>
      </c>
      <c r="B5" s="32" t="s">
        <v>91</v>
      </c>
      <c r="C5" s="33" t="s">
        <v>92</v>
      </c>
      <c r="D5" s="34" t="s">
        <v>93</v>
      </c>
      <c r="E5" s="34">
        <v>708</v>
      </c>
      <c r="F5" s="34">
        <v>2012</v>
      </c>
      <c r="G5" s="34" t="s">
        <v>94</v>
      </c>
      <c r="H5" s="34" t="s">
        <v>64</v>
      </c>
      <c r="I5" s="22" t="s">
        <v>95</v>
      </c>
      <c r="J5" s="34">
        <v>0.60660000000000003</v>
      </c>
      <c r="K5" s="21" t="s">
        <v>96</v>
      </c>
      <c r="L5" s="34" t="s">
        <v>97</v>
      </c>
      <c r="M5" s="34" t="s">
        <v>50</v>
      </c>
      <c r="N5" s="34" t="s">
        <v>51</v>
      </c>
      <c r="O5" s="34" t="s">
        <v>51</v>
      </c>
      <c r="P5" s="34" t="s">
        <v>51</v>
      </c>
      <c r="Q5" s="34" t="s">
        <v>98</v>
      </c>
      <c r="R5" s="34" t="s">
        <v>98</v>
      </c>
      <c r="S5" s="34">
        <v>1</v>
      </c>
      <c r="T5" s="34" t="s">
        <v>338</v>
      </c>
      <c r="U5" s="34" t="s">
        <v>99</v>
      </c>
      <c r="V5" s="34">
        <v>0</v>
      </c>
      <c r="W5" s="34">
        <v>1</v>
      </c>
      <c r="X5" s="34" t="s">
        <v>55</v>
      </c>
      <c r="Y5" s="34" t="s">
        <v>56</v>
      </c>
      <c r="Z5" s="34">
        <v>1</v>
      </c>
      <c r="AA5" s="22">
        <v>1</v>
      </c>
      <c r="AB5" s="35" t="s">
        <v>51</v>
      </c>
      <c r="AC5" s="35" t="s">
        <v>51</v>
      </c>
      <c r="AD5" s="35" t="s">
        <v>51</v>
      </c>
      <c r="AE5" s="35" t="s">
        <v>51</v>
      </c>
      <c r="AF5" s="5" t="s">
        <v>100</v>
      </c>
      <c r="AG5" s="5" t="s">
        <v>58</v>
      </c>
      <c r="AH5" s="5">
        <v>67</v>
      </c>
      <c r="AI5" s="5" t="s">
        <v>101</v>
      </c>
      <c r="AJ5" s="5" t="s">
        <v>102</v>
      </c>
      <c r="AK5" s="5" t="s">
        <v>103</v>
      </c>
      <c r="AL5" s="5"/>
      <c r="AM5" s="5" t="s">
        <v>59</v>
      </c>
      <c r="AN5" s="5" t="s">
        <v>59</v>
      </c>
      <c r="AO5" s="5" t="s">
        <v>104</v>
      </c>
    </row>
    <row r="6" spans="1:41" ht="84" x14ac:dyDescent="0.3">
      <c r="A6" s="18">
        <v>5</v>
      </c>
      <c r="B6" s="26" t="s">
        <v>105</v>
      </c>
      <c r="C6" s="27" t="s">
        <v>106</v>
      </c>
      <c r="D6" s="28" t="s">
        <v>93</v>
      </c>
      <c r="E6" s="28">
        <v>692</v>
      </c>
      <c r="F6" s="28">
        <v>2012</v>
      </c>
      <c r="G6" s="28" t="s">
        <v>107</v>
      </c>
      <c r="H6" s="28" t="s">
        <v>64</v>
      </c>
      <c r="I6" s="22" t="s">
        <v>108</v>
      </c>
      <c r="J6" s="28">
        <v>0.59189999999999998</v>
      </c>
      <c r="K6" s="21" t="s">
        <v>109</v>
      </c>
      <c r="L6" s="28" t="s">
        <v>97</v>
      </c>
      <c r="M6" s="28" t="s">
        <v>50</v>
      </c>
      <c r="N6" s="28" t="s">
        <v>51</v>
      </c>
      <c r="O6" s="28" t="s">
        <v>51</v>
      </c>
      <c r="P6" s="28" t="s">
        <v>51</v>
      </c>
      <c r="Q6" s="28" t="s">
        <v>98</v>
      </c>
      <c r="R6" s="28" t="s">
        <v>98</v>
      </c>
      <c r="S6" s="28">
        <v>1</v>
      </c>
      <c r="T6" s="28" t="s">
        <v>338</v>
      </c>
      <c r="U6" s="28" t="s">
        <v>99</v>
      </c>
      <c r="V6" s="28">
        <v>0</v>
      </c>
      <c r="W6" s="28">
        <v>1</v>
      </c>
      <c r="X6" s="28" t="s">
        <v>55</v>
      </c>
      <c r="Y6" s="28" t="s">
        <v>56</v>
      </c>
      <c r="Z6" s="28">
        <v>1</v>
      </c>
      <c r="AA6" s="22">
        <v>1</v>
      </c>
      <c r="AB6" s="30" t="s">
        <v>51</v>
      </c>
      <c r="AC6" s="30" t="s">
        <v>51</v>
      </c>
      <c r="AD6" s="30" t="s">
        <v>51</v>
      </c>
      <c r="AE6" s="30" t="s">
        <v>51</v>
      </c>
      <c r="AF6" s="5" t="s">
        <v>100</v>
      </c>
      <c r="AG6" s="5" t="s">
        <v>58</v>
      </c>
      <c r="AH6" s="5">
        <v>50</v>
      </c>
      <c r="AI6" s="5" t="s">
        <v>101</v>
      </c>
      <c r="AJ6" s="5" t="s">
        <v>102</v>
      </c>
      <c r="AK6" s="5" t="s">
        <v>103</v>
      </c>
      <c r="AL6" s="5"/>
      <c r="AM6" s="5" t="s">
        <v>59</v>
      </c>
      <c r="AN6" s="5" t="s">
        <v>59</v>
      </c>
      <c r="AO6" s="5" t="s">
        <v>110</v>
      </c>
    </row>
    <row r="7" spans="1:41" ht="84" x14ac:dyDescent="0.3">
      <c r="A7" s="18">
        <v>5</v>
      </c>
      <c r="B7" s="32" t="s">
        <v>111</v>
      </c>
      <c r="C7" s="33" t="s">
        <v>112</v>
      </c>
      <c r="D7" s="34" t="s">
        <v>93</v>
      </c>
      <c r="E7" s="34">
        <v>680</v>
      </c>
      <c r="F7" s="34">
        <v>2012</v>
      </c>
      <c r="G7" s="34" t="s">
        <v>113</v>
      </c>
      <c r="H7" s="34" t="s">
        <v>64</v>
      </c>
      <c r="I7" s="22" t="s">
        <v>108</v>
      </c>
      <c r="J7" s="34">
        <v>0.57999999999999996</v>
      </c>
      <c r="K7" s="21" t="s">
        <v>109</v>
      </c>
      <c r="L7" s="34" t="s">
        <v>97</v>
      </c>
      <c r="M7" s="34" t="s">
        <v>50</v>
      </c>
      <c r="N7" s="34" t="s">
        <v>51</v>
      </c>
      <c r="O7" s="34" t="s">
        <v>51</v>
      </c>
      <c r="P7" s="34" t="s">
        <v>51</v>
      </c>
      <c r="Q7" s="34" t="s">
        <v>98</v>
      </c>
      <c r="R7" s="34" t="s">
        <v>98</v>
      </c>
      <c r="S7" s="34">
        <v>1</v>
      </c>
      <c r="T7" s="34" t="s">
        <v>338</v>
      </c>
      <c r="U7" s="34" t="s">
        <v>99</v>
      </c>
      <c r="V7" s="34">
        <v>0</v>
      </c>
      <c r="W7" s="34">
        <v>1</v>
      </c>
      <c r="X7" s="34" t="s">
        <v>55</v>
      </c>
      <c r="Y7" s="34" t="s">
        <v>56</v>
      </c>
      <c r="Z7" s="34">
        <v>1</v>
      </c>
      <c r="AA7" s="22">
        <v>1</v>
      </c>
      <c r="AB7" s="35" t="s">
        <v>51</v>
      </c>
      <c r="AC7" s="35" t="s">
        <v>51</v>
      </c>
      <c r="AD7" s="35" t="s">
        <v>51</v>
      </c>
      <c r="AE7" s="35" t="s">
        <v>51</v>
      </c>
      <c r="AF7" s="5" t="s">
        <v>100</v>
      </c>
      <c r="AG7" s="5" t="s">
        <v>58</v>
      </c>
      <c r="AH7" s="5">
        <v>57</v>
      </c>
      <c r="AI7" s="5" t="s">
        <v>101</v>
      </c>
      <c r="AJ7" s="5" t="s">
        <v>102</v>
      </c>
      <c r="AK7" s="5" t="s">
        <v>103</v>
      </c>
      <c r="AL7" s="5"/>
      <c r="AM7" s="5" t="s">
        <v>59</v>
      </c>
      <c r="AN7" s="5" t="s">
        <v>59</v>
      </c>
      <c r="AO7" s="5" t="s">
        <v>114</v>
      </c>
    </row>
    <row r="8" spans="1:41" ht="70" x14ac:dyDescent="0.3">
      <c r="A8" s="18">
        <v>6</v>
      </c>
      <c r="B8" s="26" t="s">
        <v>115</v>
      </c>
      <c r="C8" s="27" t="s">
        <v>116</v>
      </c>
      <c r="D8" s="28" t="s">
        <v>117</v>
      </c>
      <c r="E8" s="28">
        <v>8062</v>
      </c>
      <c r="F8" s="28">
        <v>2025</v>
      </c>
      <c r="G8" s="28" t="s">
        <v>118</v>
      </c>
      <c r="H8" s="28" t="s">
        <v>64</v>
      </c>
      <c r="I8" s="22" t="s">
        <v>119</v>
      </c>
      <c r="J8" s="28" t="s">
        <v>120</v>
      </c>
      <c r="K8" s="21" t="s">
        <v>121</v>
      </c>
      <c r="L8" s="28" t="s">
        <v>97</v>
      </c>
      <c r="M8" s="28" t="s">
        <v>122</v>
      </c>
      <c r="N8" s="28" t="s">
        <v>51</v>
      </c>
      <c r="O8" s="28" t="s">
        <v>51</v>
      </c>
      <c r="P8" s="28" t="s">
        <v>51</v>
      </c>
      <c r="Q8" s="28" t="s">
        <v>51</v>
      </c>
      <c r="R8" s="28" t="s">
        <v>51</v>
      </c>
      <c r="S8" s="28">
        <v>1</v>
      </c>
      <c r="T8" s="28" t="s">
        <v>70</v>
      </c>
      <c r="U8" s="28" t="s">
        <v>9</v>
      </c>
      <c r="V8" s="28">
        <v>0</v>
      </c>
      <c r="W8" s="28">
        <v>1</v>
      </c>
      <c r="X8" s="28" t="s">
        <v>55</v>
      </c>
      <c r="Y8" s="28" t="s">
        <v>56</v>
      </c>
      <c r="Z8" s="28">
        <v>1</v>
      </c>
      <c r="AA8" s="22">
        <v>1</v>
      </c>
      <c r="AB8" s="30" t="s">
        <v>51</v>
      </c>
      <c r="AC8" s="30" t="s">
        <v>51</v>
      </c>
      <c r="AD8" s="30" t="s">
        <v>51</v>
      </c>
      <c r="AE8" s="30" t="s">
        <v>51</v>
      </c>
      <c r="AF8" s="6" t="s">
        <v>123</v>
      </c>
      <c r="AG8" s="6" t="s">
        <v>58</v>
      </c>
      <c r="AH8" s="6">
        <v>607</v>
      </c>
      <c r="AI8" s="6" t="s">
        <v>124</v>
      </c>
      <c r="AJ8" s="6" t="s">
        <v>125</v>
      </c>
      <c r="AK8" s="6" t="s">
        <v>126</v>
      </c>
      <c r="AL8" s="6"/>
      <c r="AM8" s="8">
        <v>0.73499999999999999</v>
      </c>
      <c r="AN8" s="8">
        <v>0.59099999999999997</v>
      </c>
      <c r="AO8" s="6" t="s">
        <v>127</v>
      </c>
    </row>
    <row r="9" spans="1:41" ht="70" x14ac:dyDescent="0.3">
      <c r="A9" s="18">
        <v>6</v>
      </c>
      <c r="B9" s="32" t="s">
        <v>128</v>
      </c>
      <c r="C9" s="33" t="s">
        <v>129</v>
      </c>
      <c r="D9" s="34" t="s">
        <v>117</v>
      </c>
      <c r="E9" s="34">
        <v>769</v>
      </c>
      <c r="F9" s="34">
        <v>2025</v>
      </c>
      <c r="G9" s="34" t="s">
        <v>130</v>
      </c>
      <c r="H9" s="34" t="s">
        <v>64</v>
      </c>
      <c r="I9" s="22" t="s">
        <v>119</v>
      </c>
      <c r="J9" s="34" t="s">
        <v>131</v>
      </c>
      <c r="K9" s="21" t="s">
        <v>121</v>
      </c>
      <c r="L9" s="34" t="s">
        <v>97</v>
      </c>
      <c r="M9" s="34" t="s">
        <v>122</v>
      </c>
      <c r="N9" s="34" t="s">
        <v>51</v>
      </c>
      <c r="O9" s="34" t="s">
        <v>51</v>
      </c>
      <c r="P9" s="34" t="s">
        <v>51</v>
      </c>
      <c r="Q9" s="34" t="s">
        <v>51</v>
      </c>
      <c r="R9" s="34" t="s">
        <v>51</v>
      </c>
      <c r="S9" s="34">
        <v>1</v>
      </c>
      <c r="T9" s="34" t="s">
        <v>70</v>
      </c>
      <c r="U9" s="34" t="s">
        <v>9</v>
      </c>
      <c r="V9" s="34">
        <v>0</v>
      </c>
      <c r="W9" s="34">
        <v>1</v>
      </c>
      <c r="X9" s="34" t="s">
        <v>55</v>
      </c>
      <c r="Y9" s="34" t="s">
        <v>56</v>
      </c>
      <c r="Z9" s="34">
        <v>1</v>
      </c>
      <c r="AA9" s="22">
        <v>1</v>
      </c>
      <c r="AB9" s="35" t="s">
        <v>51</v>
      </c>
      <c r="AC9" s="35" t="s">
        <v>51</v>
      </c>
      <c r="AD9" s="35" t="s">
        <v>51</v>
      </c>
      <c r="AE9" s="35" t="s">
        <v>51</v>
      </c>
      <c r="AF9" s="6" t="s">
        <v>123</v>
      </c>
      <c r="AG9" s="6" t="s">
        <v>58</v>
      </c>
      <c r="AH9" s="6">
        <v>70</v>
      </c>
      <c r="AI9" s="6" t="s">
        <v>132</v>
      </c>
      <c r="AJ9" s="6" t="s">
        <v>125</v>
      </c>
      <c r="AK9" s="6" t="s">
        <v>126</v>
      </c>
      <c r="AL9" s="6"/>
      <c r="AM9" s="8">
        <v>0.67400000000000004</v>
      </c>
      <c r="AN9" s="8">
        <v>0.57399999999999995</v>
      </c>
      <c r="AO9" s="6" t="s">
        <v>133</v>
      </c>
    </row>
    <row r="10" spans="1:41" ht="70" x14ac:dyDescent="0.3">
      <c r="A10" s="18">
        <v>6</v>
      </c>
      <c r="B10" s="26" t="s">
        <v>134</v>
      </c>
      <c r="C10" s="27" t="s">
        <v>135</v>
      </c>
      <c r="D10" s="28" t="s">
        <v>117</v>
      </c>
      <c r="E10" s="28">
        <v>4772</v>
      </c>
      <c r="F10" s="28">
        <v>2025</v>
      </c>
      <c r="G10" s="28" t="s">
        <v>136</v>
      </c>
      <c r="H10" s="28" t="s">
        <v>64</v>
      </c>
      <c r="I10" s="22" t="s">
        <v>119</v>
      </c>
      <c r="J10" s="28" t="s">
        <v>137</v>
      </c>
      <c r="K10" s="21" t="s">
        <v>121</v>
      </c>
      <c r="L10" s="28" t="s">
        <v>97</v>
      </c>
      <c r="M10" s="28" t="s">
        <v>122</v>
      </c>
      <c r="N10" s="28" t="s">
        <v>51</v>
      </c>
      <c r="O10" s="28" t="s">
        <v>51</v>
      </c>
      <c r="P10" s="28" t="s">
        <v>51</v>
      </c>
      <c r="Q10" s="28" t="s">
        <v>51</v>
      </c>
      <c r="R10" s="28" t="s">
        <v>51</v>
      </c>
      <c r="S10" s="28">
        <v>1</v>
      </c>
      <c r="T10" s="28" t="s">
        <v>70</v>
      </c>
      <c r="U10" s="28" t="s">
        <v>9</v>
      </c>
      <c r="V10" s="28">
        <v>0</v>
      </c>
      <c r="W10" s="28">
        <v>1</v>
      </c>
      <c r="X10" s="28" t="s">
        <v>55</v>
      </c>
      <c r="Y10" s="28" t="s">
        <v>56</v>
      </c>
      <c r="Z10" s="28">
        <v>1</v>
      </c>
      <c r="AA10" s="22">
        <v>1</v>
      </c>
      <c r="AB10" s="30" t="s">
        <v>51</v>
      </c>
      <c r="AC10" s="30" t="s">
        <v>51</v>
      </c>
      <c r="AD10" s="30" t="s">
        <v>51</v>
      </c>
      <c r="AE10" s="30" t="s">
        <v>51</v>
      </c>
      <c r="AF10" s="6" t="s">
        <v>123</v>
      </c>
      <c r="AG10" s="6" t="s">
        <v>58</v>
      </c>
      <c r="AH10" s="6">
        <v>485</v>
      </c>
      <c r="AI10" s="6" t="s">
        <v>138</v>
      </c>
      <c r="AJ10" s="6" t="s">
        <v>125</v>
      </c>
      <c r="AK10" s="6" t="s">
        <v>126</v>
      </c>
      <c r="AL10" s="6"/>
      <c r="AM10" s="8">
        <v>0.84599999999999997</v>
      </c>
      <c r="AN10" s="8">
        <v>0.45100000000000001</v>
      </c>
      <c r="AO10" s="6" t="s">
        <v>139</v>
      </c>
    </row>
    <row r="11" spans="1:41" ht="112" x14ac:dyDescent="0.3">
      <c r="A11" s="18">
        <v>7</v>
      </c>
      <c r="B11" s="37">
        <v>7</v>
      </c>
      <c r="C11" s="38" t="s">
        <v>140</v>
      </c>
      <c r="D11" s="34" t="s">
        <v>141</v>
      </c>
      <c r="E11" s="34">
        <v>550</v>
      </c>
      <c r="F11" s="34">
        <v>2025</v>
      </c>
      <c r="G11" s="34" t="s">
        <v>63</v>
      </c>
      <c r="H11" s="34" t="s">
        <v>64</v>
      </c>
      <c r="I11" s="22" t="s">
        <v>142</v>
      </c>
      <c r="J11" s="34" t="s">
        <v>143</v>
      </c>
      <c r="K11" s="21" t="s">
        <v>144</v>
      </c>
      <c r="L11" s="34" t="s">
        <v>97</v>
      </c>
      <c r="M11" s="34" t="s">
        <v>145</v>
      </c>
      <c r="N11" s="34" t="s">
        <v>51</v>
      </c>
      <c r="O11" s="34" t="s">
        <v>51</v>
      </c>
      <c r="P11" s="34" t="s">
        <v>51</v>
      </c>
      <c r="Q11" s="34" t="s">
        <v>52</v>
      </c>
      <c r="R11" s="34" t="s">
        <v>52</v>
      </c>
      <c r="S11" s="34">
        <v>1</v>
      </c>
      <c r="T11" s="34" t="s">
        <v>84</v>
      </c>
      <c r="U11" s="34" t="s">
        <v>9</v>
      </c>
      <c r="V11" s="34">
        <v>0</v>
      </c>
      <c r="W11" s="34">
        <v>1</v>
      </c>
      <c r="X11" s="34" t="s">
        <v>55</v>
      </c>
      <c r="Y11" s="34" t="s">
        <v>56</v>
      </c>
      <c r="Z11" s="34">
        <v>1</v>
      </c>
      <c r="AA11" s="39">
        <v>1</v>
      </c>
      <c r="AB11" s="35" t="s">
        <v>51</v>
      </c>
      <c r="AC11" s="35" t="s">
        <v>51</v>
      </c>
      <c r="AD11" s="35" t="s">
        <v>51</v>
      </c>
      <c r="AE11" s="35" t="s">
        <v>51</v>
      </c>
      <c r="AF11" s="5" t="s">
        <v>146</v>
      </c>
      <c r="AG11" s="5" t="s">
        <v>72</v>
      </c>
      <c r="AH11" s="5">
        <v>34</v>
      </c>
      <c r="AI11" s="5" t="s">
        <v>147</v>
      </c>
      <c r="AJ11" s="5" t="s">
        <v>148</v>
      </c>
      <c r="AK11" s="5">
        <v>48</v>
      </c>
      <c r="AL11" s="5">
        <v>502</v>
      </c>
      <c r="AM11" s="9">
        <v>0.38200000000000001</v>
      </c>
      <c r="AN11" s="9">
        <v>0.86399999999999999</v>
      </c>
      <c r="AO11" s="5" t="s">
        <v>149</v>
      </c>
    </row>
    <row r="12" spans="1:41" ht="291" x14ac:dyDescent="0.3">
      <c r="A12" s="18">
        <v>8</v>
      </c>
      <c r="B12" s="32" t="s">
        <v>150</v>
      </c>
      <c r="C12" s="33" t="s">
        <v>151</v>
      </c>
      <c r="D12" s="34" t="s">
        <v>152</v>
      </c>
      <c r="E12" s="34">
        <v>91750</v>
      </c>
      <c r="F12" s="34">
        <v>2023</v>
      </c>
      <c r="G12" s="34" t="s">
        <v>136</v>
      </c>
      <c r="H12" s="34" t="s">
        <v>64</v>
      </c>
      <c r="I12" s="22" t="s">
        <v>153</v>
      </c>
      <c r="J12" s="34" t="s">
        <v>154</v>
      </c>
      <c r="K12" s="21" t="s">
        <v>155</v>
      </c>
      <c r="L12" s="34" t="s">
        <v>97</v>
      </c>
      <c r="M12" s="34" t="s">
        <v>122</v>
      </c>
      <c r="N12" s="34" t="s">
        <v>51</v>
      </c>
      <c r="O12" s="34" t="s">
        <v>51</v>
      </c>
      <c r="P12" s="34" t="s">
        <v>51</v>
      </c>
      <c r="Q12" s="34" t="s">
        <v>51</v>
      </c>
      <c r="R12" s="34" t="s">
        <v>51</v>
      </c>
      <c r="S12" s="34">
        <v>1</v>
      </c>
      <c r="T12" s="34" t="s">
        <v>70</v>
      </c>
      <c r="U12" s="34" t="s">
        <v>9</v>
      </c>
      <c r="V12" s="34">
        <v>0</v>
      </c>
      <c r="W12" s="34">
        <v>1</v>
      </c>
      <c r="X12" s="34" t="s">
        <v>55</v>
      </c>
      <c r="Y12" s="34" t="s">
        <v>56</v>
      </c>
      <c r="Z12" s="34">
        <v>1</v>
      </c>
      <c r="AA12" s="39">
        <v>1</v>
      </c>
      <c r="AB12" s="35" t="s">
        <v>51</v>
      </c>
      <c r="AC12" s="35" t="s">
        <v>51</v>
      </c>
      <c r="AD12" s="35" t="s">
        <v>51</v>
      </c>
      <c r="AE12" s="35" t="s">
        <v>51</v>
      </c>
      <c r="AF12" s="6" t="s">
        <v>156</v>
      </c>
      <c r="AG12" s="6" t="s">
        <v>58</v>
      </c>
      <c r="AH12" s="7">
        <v>10569</v>
      </c>
      <c r="AI12" s="6" t="s">
        <v>157</v>
      </c>
      <c r="AJ12" s="6" t="s">
        <v>158</v>
      </c>
      <c r="AK12" s="7">
        <v>27249</v>
      </c>
      <c r="AL12" s="7">
        <v>64501</v>
      </c>
      <c r="AM12" s="8">
        <v>0.90200000000000002</v>
      </c>
      <c r="AN12" s="8">
        <v>0.40600000000000003</v>
      </c>
      <c r="AO12" s="6" t="s">
        <v>159</v>
      </c>
    </row>
    <row r="13" spans="1:41" ht="291" x14ac:dyDescent="0.3">
      <c r="A13" s="18">
        <v>8</v>
      </c>
      <c r="B13" s="26" t="s">
        <v>160</v>
      </c>
      <c r="C13" s="27" t="s">
        <v>161</v>
      </c>
      <c r="D13" s="28" t="s">
        <v>152</v>
      </c>
      <c r="E13" s="28">
        <v>42306</v>
      </c>
      <c r="F13" s="28">
        <v>2023</v>
      </c>
      <c r="G13" s="28" t="s">
        <v>162</v>
      </c>
      <c r="H13" s="28" t="s">
        <v>64</v>
      </c>
      <c r="I13" s="22" t="s">
        <v>153</v>
      </c>
      <c r="J13" s="28" t="s">
        <v>163</v>
      </c>
      <c r="K13" s="21" t="s">
        <v>155</v>
      </c>
      <c r="L13" s="28" t="s">
        <v>97</v>
      </c>
      <c r="M13" s="28" t="s">
        <v>122</v>
      </c>
      <c r="N13" s="28" t="s">
        <v>51</v>
      </c>
      <c r="O13" s="28" t="s">
        <v>51</v>
      </c>
      <c r="P13" s="28" t="s">
        <v>51</v>
      </c>
      <c r="Q13" s="28" t="s">
        <v>51</v>
      </c>
      <c r="R13" s="28" t="s">
        <v>51</v>
      </c>
      <c r="S13" s="28">
        <v>1</v>
      </c>
      <c r="T13" s="28" t="s">
        <v>70</v>
      </c>
      <c r="U13" s="28" t="s">
        <v>9</v>
      </c>
      <c r="V13" s="28">
        <v>0</v>
      </c>
      <c r="W13" s="28">
        <v>1</v>
      </c>
      <c r="X13" s="28" t="s">
        <v>55</v>
      </c>
      <c r="Y13" s="28" t="s">
        <v>56</v>
      </c>
      <c r="Z13" s="28">
        <v>1</v>
      </c>
      <c r="AA13" s="39">
        <v>1</v>
      </c>
      <c r="AB13" s="30" t="s">
        <v>51</v>
      </c>
      <c r="AC13" s="30" t="s">
        <v>51</v>
      </c>
      <c r="AD13" s="30" t="s">
        <v>51</v>
      </c>
      <c r="AE13" s="30" t="s">
        <v>51</v>
      </c>
      <c r="AF13" s="6" t="s">
        <v>156</v>
      </c>
      <c r="AG13" s="6" t="s">
        <v>58</v>
      </c>
      <c r="AH13" s="7">
        <v>2821</v>
      </c>
      <c r="AI13" s="6" t="s">
        <v>164</v>
      </c>
      <c r="AJ13" s="6" t="s">
        <v>165</v>
      </c>
      <c r="AK13" s="7">
        <v>17260</v>
      </c>
      <c r="AL13" s="7">
        <v>25045</v>
      </c>
      <c r="AM13" s="8">
        <v>0.746</v>
      </c>
      <c r="AN13" s="8">
        <v>0.69599999999999995</v>
      </c>
      <c r="AO13" s="6" t="s">
        <v>159</v>
      </c>
    </row>
    <row r="14" spans="1:41" ht="291" x14ac:dyDescent="0.3">
      <c r="A14" s="18">
        <v>8</v>
      </c>
      <c r="B14" s="32" t="s">
        <v>166</v>
      </c>
      <c r="C14" s="33" t="s">
        <v>167</v>
      </c>
      <c r="D14" s="34" t="s">
        <v>152</v>
      </c>
      <c r="E14" s="34">
        <v>26375</v>
      </c>
      <c r="F14" s="34">
        <v>2023</v>
      </c>
      <c r="G14" s="34" t="s">
        <v>130</v>
      </c>
      <c r="H14" s="34" t="s">
        <v>64</v>
      </c>
      <c r="I14" s="22" t="s">
        <v>153</v>
      </c>
      <c r="J14" s="34" t="s">
        <v>168</v>
      </c>
      <c r="K14" s="21" t="s">
        <v>155</v>
      </c>
      <c r="L14" s="34" t="s">
        <v>97</v>
      </c>
      <c r="M14" s="34" t="s">
        <v>122</v>
      </c>
      <c r="N14" s="34" t="s">
        <v>51</v>
      </c>
      <c r="O14" s="34" t="s">
        <v>51</v>
      </c>
      <c r="P14" s="34" t="s">
        <v>51</v>
      </c>
      <c r="Q14" s="34" t="s">
        <v>51</v>
      </c>
      <c r="R14" s="34" t="s">
        <v>51</v>
      </c>
      <c r="S14" s="34">
        <v>1</v>
      </c>
      <c r="T14" s="34" t="s">
        <v>70</v>
      </c>
      <c r="U14" s="34" t="s">
        <v>9</v>
      </c>
      <c r="V14" s="34">
        <v>0</v>
      </c>
      <c r="W14" s="34">
        <v>1</v>
      </c>
      <c r="X14" s="34" t="s">
        <v>55</v>
      </c>
      <c r="Y14" s="34" t="s">
        <v>56</v>
      </c>
      <c r="Z14" s="34">
        <v>1</v>
      </c>
      <c r="AA14" s="39">
        <v>1</v>
      </c>
      <c r="AB14" s="35" t="s">
        <v>51</v>
      </c>
      <c r="AC14" s="35" t="s">
        <v>51</v>
      </c>
      <c r="AD14" s="35" t="s">
        <v>51</v>
      </c>
      <c r="AE14" s="35" t="s">
        <v>51</v>
      </c>
      <c r="AF14" s="6" t="s">
        <v>156</v>
      </c>
      <c r="AG14" s="6" t="s">
        <v>58</v>
      </c>
      <c r="AH14" s="7">
        <v>1802</v>
      </c>
      <c r="AI14" s="6" t="s">
        <v>169</v>
      </c>
      <c r="AJ14" s="6" t="s">
        <v>170</v>
      </c>
      <c r="AK14" s="7">
        <v>12686</v>
      </c>
      <c r="AL14" s="7">
        <v>13688</v>
      </c>
      <c r="AM14" s="8">
        <v>0.74199999999999999</v>
      </c>
      <c r="AN14" s="8">
        <v>0.64900000000000002</v>
      </c>
      <c r="AO14" s="6" t="s">
        <v>159</v>
      </c>
    </row>
    <row r="15" spans="1:41" ht="291" x14ac:dyDescent="0.3">
      <c r="A15" s="18">
        <v>8</v>
      </c>
      <c r="B15" s="26" t="s">
        <v>171</v>
      </c>
      <c r="C15" s="27" t="s">
        <v>172</v>
      </c>
      <c r="D15" s="28" t="s">
        <v>152</v>
      </c>
      <c r="E15" s="28">
        <v>390664</v>
      </c>
      <c r="F15" s="28">
        <v>2023</v>
      </c>
      <c r="G15" s="28" t="s">
        <v>118</v>
      </c>
      <c r="H15" s="28" t="s">
        <v>64</v>
      </c>
      <c r="I15" s="22" t="s">
        <v>153</v>
      </c>
      <c r="J15" s="28" t="s">
        <v>173</v>
      </c>
      <c r="K15" s="21" t="s">
        <v>155</v>
      </c>
      <c r="L15" s="28" t="s">
        <v>97</v>
      </c>
      <c r="M15" s="28" t="s">
        <v>122</v>
      </c>
      <c r="N15" s="28" t="s">
        <v>51</v>
      </c>
      <c r="O15" s="28" t="s">
        <v>51</v>
      </c>
      <c r="P15" s="28" t="s">
        <v>51</v>
      </c>
      <c r="Q15" s="28" t="s">
        <v>51</v>
      </c>
      <c r="R15" s="28" t="s">
        <v>51</v>
      </c>
      <c r="S15" s="28">
        <v>1</v>
      </c>
      <c r="T15" s="28" t="s">
        <v>70</v>
      </c>
      <c r="U15" s="28" t="s">
        <v>9</v>
      </c>
      <c r="V15" s="28">
        <v>0</v>
      </c>
      <c r="W15" s="28">
        <v>1</v>
      </c>
      <c r="X15" s="28" t="s">
        <v>55</v>
      </c>
      <c r="Y15" s="28" t="s">
        <v>56</v>
      </c>
      <c r="Z15" s="28">
        <v>1</v>
      </c>
      <c r="AA15" s="39">
        <v>1</v>
      </c>
      <c r="AB15" s="30" t="s">
        <v>51</v>
      </c>
      <c r="AC15" s="30" t="s">
        <v>51</v>
      </c>
      <c r="AD15" s="30" t="s">
        <v>51</v>
      </c>
      <c r="AE15" s="30" t="s">
        <v>51</v>
      </c>
      <c r="AF15" s="6" t="s">
        <v>156</v>
      </c>
      <c r="AG15" s="6" t="s">
        <v>58</v>
      </c>
      <c r="AH15" s="7">
        <v>19078</v>
      </c>
      <c r="AI15" s="6" t="s">
        <v>174</v>
      </c>
      <c r="AJ15" s="6" t="s">
        <v>175</v>
      </c>
      <c r="AK15" s="7">
        <v>163020</v>
      </c>
      <c r="AL15" s="7">
        <v>227643</v>
      </c>
      <c r="AM15" s="8">
        <v>0.77600000000000002</v>
      </c>
      <c r="AN15" s="8">
        <v>0.70799999999999996</v>
      </c>
      <c r="AO15" s="6" t="s">
        <v>159</v>
      </c>
    </row>
    <row r="16" spans="1:41" ht="70" x14ac:dyDescent="0.3">
      <c r="A16" s="18">
        <v>14</v>
      </c>
      <c r="B16" s="26">
        <v>14</v>
      </c>
      <c r="C16" s="27" t="s">
        <v>176</v>
      </c>
      <c r="D16" s="28" t="s">
        <v>177</v>
      </c>
      <c r="E16" s="28">
        <v>124</v>
      </c>
      <c r="F16" s="28">
        <v>2023</v>
      </c>
      <c r="G16" s="28" t="s">
        <v>63</v>
      </c>
      <c r="H16" s="28" t="s">
        <v>64</v>
      </c>
      <c r="I16" s="22" t="s">
        <v>178</v>
      </c>
      <c r="J16" s="28" t="s">
        <v>179</v>
      </c>
      <c r="K16" s="21"/>
      <c r="L16" s="28" t="s">
        <v>180</v>
      </c>
      <c r="M16" s="28" t="s">
        <v>181</v>
      </c>
      <c r="N16" s="28" t="s">
        <v>51</v>
      </c>
      <c r="O16" s="28" t="s">
        <v>51</v>
      </c>
      <c r="P16" s="28" t="s">
        <v>52</v>
      </c>
      <c r="Q16" s="28" t="s">
        <v>98</v>
      </c>
      <c r="R16" s="28" t="s">
        <v>52</v>
      </c>
      <c r="S16" s="28">
        <v>1</v>
      </c>
      <c r="T16" s="28" t="s">
        <v>84</v>
      </c>
      <c r="U16" s="28" t="s">
        <v>9</v>
      </c>
      <c r="V16" s="28">
        <v>0</v>
      </c>
      <c r="W16" s="28">
        <v>1</v>
      </c>
      <c r="X16" s="28" t="s">
        <v>182</v>
      </c>
      <c r="Y16" s="28" t="s">
        <v>183</v>
      </c>
      <c r="Z16" s="28">
        <v>1</v>
      </c>
      <c r="AA16" s="39">
        <v>1</v>
      </c>
      <c r="AB16" s="30" t="s">
        <v>51</v>
      </c>
      <c r="AC16" s="30" t="s">
        <v>51</v>
      </c>
      <c r="AD16" s="30" t="s">
        <v>52</v>
      </c>
      <c r="AE16" s="30" t="s">
        <v>52</v>
      </c>
      <c r="AF16" s="5" t="s">
        <v>184</v>
      </c>
      <c r="AG16" s="5" t="s">
        <v>72</v>
      </c>
      <c r="AH16" s="5">
        <v>26</v>
      </c>
      <c r="AI16" s="5" t="s">
        <v>185</v>
      </c>
      <c r="AJ16" s="5" t="s">
        <v>186</v>
      </c>
      <c r="AK16" s="5">
        <v>12</v>
      </c>
      <c r="AL16" s="5">
        <v>112</v>
      </c>
      <c r="AM16" s="5" t="s">
        <v>59</v>
      </c>
      <c r="AN16" s="5" t="s">
        <v>59</v>
      </c>
      <c r="AO16" s="5" t="s">
        <v>187</v>
      </c>
    </row>
    <row r="17" spans="1:41" ht="87" x14ac:dyDescent="0.3">
      <c r="A17" s="18">
        <v>16</v>
      </c>
      <c r="B17" s="37">
        <v>16</v>
      </c>
      <c r="C17" s="38" t="s">
        <v>188</v>
      </c>
      <c r="D17" s="34" t="s">
        <v>189</v>
      </c>
      <c r="E17" s="34">
        <v>566</v>
      </c>
      <c r="F17" s="34">
        <v>2022</v>
      </c>
      <c r="G17" s="34" t="s">
        <v>43</v>
      </c>
      <c r="H17" s="34" t="s">
        <v>64</v>
      </c>
      <c r="I17" s="22" t="s">
        <v>190</v>
      </c>
      <c r="J17" s="34" t="s">
        <v>191</v>
      </c>
      <c r="K17" s="21" t="s">
        <v>192</v>
      </c>
      <c r="L17" s="34" t="s">
        <v>193</v>
      </c>
      <c r="M17" s="34" t="s">
        <v>194</v>
      </c>
      <c r="N17" s="34" t="s">
        <v>51</v>
      </c>
      <c r="O17" s="34" t="s">
        <v>52</v>
      </c>
      <c r="P17" s="34" t="s">
        <v>51</v>
      </c>
      <c r="Q17" s="34" t="s">
        <v>52</v>
      </c>
      <c r="R17" s="34" t="s">
        <v>52</v>
      </c>
      <c r="S17" s="34">
        <v>1</v>
      </c>
      <c r="T17" s="34" t="s">
        <v>84</v>
      </c>
      <c r="U17" s="34" t="s">
        <v>9</v>
      </c>
      <c r="V17" s="34">
        <v>0</v>
      </c>
      <c r="W17" s="34">
        <v>1</v>
      </c>
      <c r="X17" s="34" t="s">
        <v>55</v>
      </c>
      <c r="Y17" s="34" t="s">
        <v>56</v>
      </c>
      <c r="Z17" s="34">
        <v>1</v>
      </c>
      <c r="AA17" s="39">
        <v>1</v>
      </c>
      <c r="AB17" s="35" t="s">
        <v>51</v>
      </c>
      <c r="AC17" s="35" t="s">
        <v>51</v>
      </c>
      <c r="AD17" s="35" t="s">
        <v>51</v>
      </c>
      <c r="AE17" s="35" t="s">
        <v>51</v>
      </c>
      <c r="AF17" s="6" t="s">
        <v>195</v>
      </c>
      <c r="AG17" s="6" t="s">
        <v>72</v>
      </c>
      <c r="AH17" s="6">
        <v>138</v>
      </c>
      <c r="AI17" s="6" t="s">
        <v>196</v>
      </c>
      <c r="AJ17" s="6" t="s">
        <v>197</v>
      </c>
      <c r="AK17" s="6">
        <v>361</v>
      </c>
      <c r="AL17" s="6">
        <v>205</v>
      </c>
      <c r="AM17" s="8">
        <v>0.91300000000000003</v>
      </c>
      <c r="AN17" s="8">
        <v>0.61199999999999999</v>
      </c>
      <c r="AO17" s="6" t="s">
        <v>187</v>
      </c>
    </row>
    <row r="18" spans="1:41" ht="70" x14ac:dyDescent="0.3">
      <c r="A18" s="18">
        <v>18</v>
      </c>
      <c r="B18" s="26">
        <v>18</v>
      </c>
      <c r="C18" s="27" t="s">
        <v>198</v>
      </c>
      <c r="D18" s="28" t="s">
        <v>199</v>
      </c>
      <c r="E18" s="28">
        <v>296</v>
      </c>
      <c r="F18" s="28">
        <v>2022</v>
      </c>
      <c r="G18" s="28" t="s">
        <v>63</v>
      </c>
      <c r="H18" s="28" t="s">
        <v>64</v>
      </c>
      <c r="I18" s="22" t="s">
        <v>200</v>
      </c>
      <c r="J18" s="28" t="s">
        <v>201</v>
      </c>
      <c r="K18" s="21" t="s">
        <v>202</v>
      </c>
      <c r="L18" s="28" t="s">
        <v>203</v>
      </c>
      <c r="M18" s="28" t="s">
        <v>50</v>
      </c>
      <c r="N18" s="28" t="s">
        <v>51</v>
      </c>
      <c r="O18" s="28" t="s">
        <v>51</v>
      </c>
      <c r="P18" s="28" t="s">
        <v>52</v>
      </c>
      <c r="Q18" s="28" t="s">
        <v>52</v>
      </c>
      <c r="R18" s="28" t="s">
        <v>52</v>
      </c>
      <c r="S18" s="28">
        <v>1</v>
      </c>
      <c r="T18" s="28" t="s">
        <v>70</v>
      </c>
      <c r="U18" s="28" t="s">
        <v>9</v>
      </c>
      <c r="V18" s="28">
        <v>0</v>
      </c>
      <c r="W18" s="28">
        <v>1</v>
      </c>
      <c r="X18" s="28" t="s">
        <v>182</v>
      </c>
      <c r="Y18" s="28" t="s">
        <v>183</v>
      </c>
      <c r="Z18" s="28">
        <v>1</v>
      </c>
      <c r="AA18" s="39">
        <v>1</v>
      </c>
      <c r="AB18" s="30" t="s">
        <v>51</v>
      </c>
      <c r="AC18" s="30" t="s">
        <v>51</v>
      </c>
      <c r="AD18" s="30" t="s">
        <v>52</v>
      </c>
      <c r="AE18" s="30" t="s">
        <v>52</v>
      </c>
      <c r="AF18" s="5" t="s">
        <v>204</v>
      </c>
      <c r="AG18" s="5" t="s">
        <v>58</v>
      </c>
      <c r="AH18" s="5">
        <v>108</v>
      </c>
      <c r="AI18" s="5" t="s">
        <v>205</v>
      </c>
      <c r="AJ18" s="5" t="s">
        <v>206</v>
      </c>
      <c r="AK18" s="5">
        <v>16</v>
      </c>
      <c r="AL18" s="5">
        <v>280</v>
      </c>
      <c r="AM18" s="5" t="s">
        <v>59</v>
      </c>
      <c r="AN18" s="5" t="s">
        <v>59</v>
      </c>
      <c r="AO18" s="5" t="s">
        <v>187</v>
      </c>
    </row>
    <row r="19" spans="1:41" ht="358" x14ac:dyDescent="0.3">
      <c r="A19" s="18">
        <v>19</v>
      </c>
      <c r="B19" s="32" t="s">
        <v>207</v>
      </c>
      <c r="C19" s="33" t="s">
        <v>208</v>
      </c>
      <c r="D19" s="34" t="s">
        <v>209</v>
      </c>
      <c r="E19" s="34">
        <v>168871</v>
      </c>
      <c r="F19" s="34">
        <v>2022</v>
      </c>
      <c r="G19" s="34" t="s">
        <v>43</v>
      </c>
      <c r="H19" s="34" t="s">
        <v>44</v>
      </c>
      <c r="I19" s="22" t="s">
        <v>210</v>
      </c>
      <c r="J19" s="34" t="s">
        <v>211</v>
      </c>
      <c r="K19" s="21"/>
      <c r="L19" s="34" t="s">
        <v>97</v>
      </c>
      <c r="M19" s="34" t="s">
        <v>122</v>
      </c>
      <c r="N19" s="34" t="s">
        <v>51</v>
      </c>
      <c r="O19" s="34" t="s">
        <v>51</v>
      </c>
      <c r="P19" s="34" t="s">
        <v>51</v>
      </c>
      <c r="Q19" s="34" t="s">
        <v>51</v>
      </c>
      <c r="R19" s="34" t="s">
        <v>51</v>
      </c>
      <c r="S19" s="34">
        <v>0</v>
      </c>
      <c r="T19" s="34" t="s">
        <v>70</v>
      </c>
      <c r="U19" s="34" t="s">
        <v>9</v>
      </c>
      <c r="V19" s="34">
        <v>1</v>
      </c>
      <c r="W19" s="34">
        <v>0</v>
      </c>
      <c r="X19" s="34" t="s">
        <v>55</v>
      </c>
      <c r="Y19" s="34" t="s">
        <v>56</v>
      </c>
      <c r="Z19" s="34">
        <v>1</v>
      </c>
      <c r="AA19" s="39">
        <v>1</v>
      </c>
      <c r="AB19" s="35" t="s">
        <v>51</v>
      </c>
      <c r="AC19" s="35" t="s">
        <v>51</v>
      </c>
      <c r="AD19" s="35" t="s">
        <v>51</v>
      </c>
      <c r="AE19" s="35" t="s">
        <v>51</v>
      </c>
      <c r="AF19" s="10" t="s">
        <v>212</v>
      </c>
      <c r="AG19" s="10" t="s">
        <v>58</v>
      </c>
      <c r="AH19" s="11">
        <v>29025</v>
      </c>
      <c r="AI19" s="10" t="s">
        <v>213</v>
      </c>
      <c r="AJ19" s="10" t="s">
        <v>214</v>
      </c>
      <c r="AK19" s="11">
        <v>90683</v>
      </c>
      <c r="AL19" s="11">
        <v>78187</v>
      </c>
      <c r="AM19" s="10" t="s">
        <v>59</v>
      </c>
      <c r="AN19" s="10" t="s">
        <v>59</v>
      </c>
      <c r="AO19" s="10" t="s">
        <v>215</v>
      </c>
    </row>
    <row r="20" spans="1:41" ht="358" x14ac:dyDescent="0.3">
      <c r="A20" s="18">
        <v>19</v>
      </c>
      <c r="B20" s="26" t="s">
        <v>216</v>
      </c>
      <c r="C20" s="27" t="s">
        <v>217</v>
      </c>
      <c r="D20" s="28" t="s">
        <v>209</v>
      </c>
      <c r="E20" s="28">
        <v>168871</v>
      </c>
      <c r="F20" s="28">
        <v>2022</v>
      </c>
      <c r="G20" s="28" t="s">
        <v>43</v>
      </c>
      <c r="H20" s="28" t="s">
        <v>64</v>
      </c>
      <c r="I20" s="22" t="s">
        <v>210</v>
      </c>
      <c r="J20" s="28" t="s">
        <v>218</v>
      </c>
      <c r="K20" s="21"/>
      <c r="L20" s="28" t="s">
        <v>97</v>
      </c>
      <c r="M20" s="28" t="s">
        <v>122</v>
      </c>
      <c r="N20" s="28" t="s">
        <v>51</v>
      </c>
      <c r="O20" s="28" t="s">
        <v>51</v>
      </c>
      <c r="P20" s="28" t="s">
        <v>51</v>
      </c>
      <c r="Q20" s="28" t="s">
        <v>51</v>
      </c>
      <c r="R20" s="28" t="s">
        <v>51</v>
      </c>
      <c r="S20" s="28">
        <v>1</v>
      </c>
      <c r="T20" s="28" t="s">
        <v>70</v>
      </c>
      <c r="U20" s="28" t="s">
        <v>9</v>
      </c>
      <c r="V20" s="28">
        <v>0</v>
      </c>
      <c r="W20" s="28">
        <v>1</v>
      </c>
      <c r="X20" s="28" t="s">
        <v>55</v>
      </c>
      <c r="Y20" s="28" t="s">
        <v>56</v>
      </c>
      <c r="Z20" s="28">
        <v>1</v>
      </c>
      <c r="AA20" s="39">
        <v>1</v>
      </c>
      <c r="AB20" s="30" t="s">
        <v>51</v>
      </c>
      <c r="AC20" s="30" t="s">
        <v>51</v>
      </c>
      <c r="AD20" s="30" t="s">
        <v>51</v>
      </c>
      <c r="AE20" s="30" t="s">
        <v>51</v>
      </c>
      <c r="AF20" s="10" t="s">
        <v>212</v>
      </c>
      <c r="AG20" s="10" t="s">
        <v>58</v>
      </c>
      <c r="AH20" s="11">
        <v>29025</v>
      </c>
      <c r="AI20" s="10" t="s">
        <v>213</v>
      </c>
      <c r="AJ20" s="10" t="s">
        <v>214</v>
      </c>
      <c r="AK20" s="11">
        <v>90683</v>
      </c>
      <c r="AL20" s="11">
        <v>78187</v>
      </c>
      <c r="AM20" s="10" t="s">
        <v>59</v>
      </c>
      <c r="AN20" s="10" t="s">
        <v>59</v>
      </c>
      <c r="AO20" s="10" t="s">
        <v>215</v>
      </c>
    </row>
    <row r="21" spans="1:41" ht="84" x14ac:dyDescent="0.3">
      <c r="A21" s="18">
        <v>21</v>
      </c>
      <c r="B21" s="32">
        <v>21</v>
      </c>
      <c r="C21" s="33" t="s">
        <v>219</v>
      </c>
      <c r="D21" s="34" t="s">
        <v>220</v>
      </c>
      <c r="E21" s="34">
        <v>750</v>
      </c>
      <c r="F21" s="34">
        <v>2021</v>
      </c>
      <c r="G21" s="34" t="s">
        <v>221</v>
      </c>
      <c r="H21" s="34" t="s">
        <v>64</v>
      </c>
      <c r="I21" s="22" t="s">
        <v>222</v>
      </c>
      <c r="J21" s="34" t="s">
        <v>223</v>
      </c>
      <c r="K21" s="21" t="s">
        <v>192</v>
      </c>
      <c r="L21" s="34" t="s">
        <v>203</v>
      </c>
      <c r="M21" s="34" t="s">
        <v>224</v>
      </c>
      <c r="N21" s="34" t="s">
        <v>52</v>
      </c>
      <c r="O21" s="34" t="s">
        <v>51</v>
      </c>
      <c r="P21" s="34" t="s">
        <v>51</v>
      </c>
      <c r="Q21" s="34" t="s">
        <v>52</v>
      </c>
      <c r="R21" s="34" t="s">
        <v>52</v>
      </c>
      <c r="S21" s="34">
        <v>1</v>
      </c>
      <c r="T21" s="34" t="s">
        <v>70</v>
      </c>
      <c r="U21" s="34" t="s">
        <v>9</v>
      </c>
      <c r="V21" s="34">
        <v>0</v>
      </c>
      <c r="W21" s="34">
        <v>1</v>
      </c>
      <c r="X21" s="34" t="s">
        <v>182</v>
      </c>
      <c r="Y21" s="34" t="s">
        <v>225</v>
      </c>
      <c r="Z21" s="34">
        <v>1</v>
      </c>
      <c r="AA21" s="39">
        <v>1</v>
      </c>
      <c r="AB21" s="35" t="s">
        <v>51</v>
      </c>
      <c r="AC21" s="35" t="s">
        <v>51</v>
      </c>
      <c r="AD21" s="35" t="s">
        <v>52</v>
      </c>
      <c r="AE21" s="35" t="s">
        <v>52</v>
      </c>
      <c r="AF21" s="10" t="s">
        <v>226</v>
      </c>
      <c r="AG21" s="10" t="s">
        <v>72</v>
      </c>
      <c r="AH21" s="10">
        <v>484</v>
      </c>
      <c r="AI21" s="10" t="s">
        <v>227</v>
      </c>
      <c r="AJ21" s="10" t="s">
        <v>228</v>
      </c>
      <c r="AK21" s="10">
        <v>315</v>
      </c>
      <c r="AL21" s="10">
        <v>435</v>
      </c>
      <c r="AM21" s="10" t="s">
        <v>229</v>
      </c>
      <c r="AN21" s="10" t="s">
        <v>229</v>
      </c>
      <c r="AO21" s="10" t="s">
        <v>59</v>
      </c>
    </row>
    <row r="22" spans="1:41" ht="56" x14ac:dyDescent="0.3">
      <c r="A22" s="18">
        <v>22</v>
      </c>
      <c r="B22" s="26">
        <v>22</v>
      </c>
      <c r="C22" s="27" t="s">
        <v>230</v>
      </c>
      <c r="D22" s="28" t="s">
        <v>231</v>
      </c>
      <c r="E22" s="28">
        <v>186</v>
      </c>
      <c r="F22" s="28">
        <v>2021</v>
      </c>
      <c r="G22" s="28" t="s">
        <v>232</v>
      </c>
      <c r="H22" s="28" t="s">
        <v>64</v>
      </c>
      <c r="I22" s="22" t="s">
        <v>233</v>
      </c>
      <c r="J22" s="28" t="s">
        <v>234</v>
      </c>
      <c r="K22" s="21" t="s">
        <v>192</v>
      </c>
      <c r="L22" s="28" t="s">
        <v>203</v>
      </c>
      <c r="M22" s="28" t="s">
        <v>50</v>
      </c>
      <c r="N22" s="28" t="s">
        <v>51</v>
      </c>
      <c r="O22" s="28" t="s">
        <v>51</v>
      </c>
      <c r="P22" s="28" t="s">
        <v>52</v>
      </c>
      <c r="Q22" s="28" t="s">
        <v>52</v>
      </c>
      <c r="R22" s="28" t="s">
        <v>52</v>
      </c>
      <c r="S22" s="28">
        <v>1</v>
      </c>
      <c r="T22" s="28" t="s">
        <v>70</v>
      </c>
      <c r="U22" s="28" t="s">
        <v>9</v>
      </c>
      <c r="V22" s="28">
        <v>0</v>
      </c>
      <c r="W22" s="28">
        <v>1</v>
      </c>
      <c r="X22" s="28" t="s">
        <v>182</v>
      </c>
      <c r="Y22" s="28" t="s">
        <v>183</v>
      </c>
      <c r="Z22" s="28">
        <v>1</v>
      </c>
      <c r="AA22" s="39">
        <v>1</v>
      </c>
      <c r="AB22" s="30" t="s">
        <v>51</v>
      </c>
      <c r="AC22" s="30" t="s">
        <v>51</v>
      </c>
      <c r="AD22" s="30" t="s">
        <v>52</v>
      </c>
      <c r="AE22" s="30" t="s">
        <v>52</v>
      </c>
      <c r="AF22" s="12" t="s">
        <v>235</v>
      </c>
      <c r="AG22" s="12" t="s">
        <v>58</v>
      </c>
      <c r="AH22" s="12">
        <v>61</v>
      </c>
      <c r="AI22" s="12" t="s">
        <v>236</v>
      </c>
      <c r="AJ22" s="12" t="s">
        <v>237</v>
      </c>
      <c r="AK22" s="12">
        <v>85</v>
      </c>
      <c r="AL22" s="12">
        <v>101</v>
      </c>
      <c r="AM22" s="12" t="s">
        <v>59</v>
      </c>
      <c r="AN22" s="12" t="s">
        <v>59</v>
      </c>
      <c r="AO22" s="12" t="s">
        <v>59</v>
      </c>
    </row>
    <row r="23" spans="1:41" ht="98" x14ac:dyDescent="0.3">
      <c r="A23" s="18">
        <v>23</v>
      </c>
      <c r="B23" s="32">
        <v>23</v>
      </c>
      <c r="C23" s="33" t="s">
        <v>238</v>
      </c>
      <c r="D23" s="34" t="s">
        <v>239</v>
      </c>
      <c r="E23" s="34">
        <v>6245</v>
      </c>
      <c r="F23" s="34">
        <v>2021</v>
      </c>
      <c r="G23" s="34" t="s">
        <v>43</v>
      </c>
      <c r="H23" s="34" t="s">
        <v>64</v>
      </c>
      <c r="I23" s="22" t="s">
        <v>240</v>
      </c>
      <c r="J23" s="34" t="s">
        <v>241</v>
      </c>
      <c r="K23" s="21" t="s">
        <v>242</v>
      </c>
      <c r="L23" s="34" t="s">
        <v>243</v>
      </c>
      <c r="M23" s="34" t="s">
        <v>244</v>
      </c>
      <c r="N23" s="34" t="s">
        <v>52</v>
      </c>
      <c r="O23" s="34" t="s">
        <v>52</v>
      </c>
      <c r="P23" s="34" t="s">
        <v>52</v>
      </c>
      <c r="Q23" s="34" t="s">
        <v>52</v>
      </c>
      <c r="R23" s="34" t="s">
        <v>52</v>
      </c>
      <c r="S23" s="34">
        <v>1</v>
      </c>
      <c r="T23" s="34" t="s">
        <v>70</v>
      </c>
      <c r="U23" s="34" t="s">
        <v>9</v>
      </c>
      <c r="V23" s="34">
        <v>0</v>
      </c>
      <c r="W23" s="34">
        <v>1</v>
      </c>
      <c r="X23" s="34" t="s">
        <v>55</v>
      </c>
      <c r="Y23" s="34" t="s">
        <v>56</v>
      </c>
      <c r="Z23" s="34">
        <v>1</v>
      </c>
      <c r="AA23" s="39">
        <v>1</v>
      </c>
      <c r="AB23" s="35" t="s">
        <v>51</v>
      </c>
      <c r="AC23" s="35" t="s">
        <v>51</v>
      </c>
      <c r="AD23" s="35" t="s">
        <v>51</v>
      </c>
      <c r="AE23" s="35" t="s">
        <v>51</v>
      </c>
      <c r="AF23" s="12" t="s">
        <v>245</v>
      </c>
      <c r="AG23" s="13" t="s">
        <v>72</v>
      </c>
      <c r="AH23" s="12">
        <v>413</v>
      </c>
      <c r="AI23" s="12" t="s">
        <v>246</v>
      </c>
      <c r="AJ23" s="12" t="s">
        <v>186</v>
      </c>
      <c r="AK23" s="13">
        <v>3020</v>
      </c>
      <c r="AL23" s="13">
        <v>3225</v>
      </c>
      <c r="AM23" s="12" t="s">
        <v>59</v>
      </c>
      <c r="AN23" s="12" t="s">
        <v>59</v>
      </c>
      <c r="AO23" s="12" t="s">
        <v>247</v>
      </c>
    </row>
    <row r="24" spans="1:41" ht="84" x14ac:dyDescent="0.3">
      <c r="A24" s="18">
        <v>26</v>
      </c>
      <c r="B24" s="26" t="s">
        <v>248</v>
      </c>
      <c r="C24" s="27" t="s">
        <v>249</v>
      </c>
      <c r="D24" s="28" t="s">
        <v>250</v>
      </c>
      <c r="E24" s="28">
        <v>1887</v>
      </c>
      <c r="F24" s="28">
        <v>2021</v>
      </c>
      <c r="G24" s="28" t="s">
        <v>63</v>
      </c>
      <c r="H24" s="28" t="s">
        <v>44</v>
      </c>
      <c r="I24" s="22" t="s">
        <v>251</v>
      </c>
      <c r="J24" s="28" t="s">
        <v>252</v>
      </c>
      <c r="K24" s="21"/>
      <c r="L24" s="28" t="s">
        <v>97</v>
      </c>
      <c r="M24" s="28" t="s">
        <v>253</v>
      </c>
      <c r="N24" s="28" t="s">
        <v>51</v>
      </c>
      <c r="O24" s="28" t="s">
        <v>52</v>
      </c>
      <c r="P24" s="28" t="s">
        <v>51</v>
      </c>
      <c r="Q24" s="28" t="s">
        <v>52</v>
      </c>
      <c r="R24" s="28" t="s">
        <v>52</v>
      </c>
      <c r="S24" s="28">
        <v>0</v>
      </c>
      <c r="T24" s="28" t="s">
        <v>84</v>
      </c>
      <c r="U24" s="28" t="s">
        <v>9</v>
      </c>
      <c r="V24" s="28">
        <v>1</v>
      </c>
      <c r="W24" s="28">
        <v>0</v>
      </c>
      <c r="X24" s="28" t="s">
        <v>55</v>
      </c>
      <c r="Y24" s="28" t="s">
        <v>56</v>
      </c>
      <c r="Z24" s="28">
        <v>1</v>
      </c>
      <c r="AA24" s="39">
        <v>1</v>
      </c>
      <c r="AB24" s="30" t="s">
        <v>51</v>
      </c>
      <c r="AC24" s="30" t="s">
        <v>51</v>
      </c>
      <c r="AD24" s="30" t="s">
        <v>51</v>
      </c>
      <c r="AE24" s="30" t="s">
        <v>51</v>
      </c>
      <c r="AF24" s="10" t="s">
        <v>254</v>
      </c>
      <c r="AG24" s="10" t="s">
        <v>72</v>
      </c>
      <c r="AH24" s="10">
        <v>232</v>
      </c>
      <c r="AI24" s="10" t="s">
        <v>255</v>
      </c>
      <c r="AJ24" s="10" t="s">
        <v>256</v>
      </c>
      <c r="AK24" s="10">
        <v>234</v>
      </c>
      <c r="AL24" s="11">
        <v>1653</v>
      </c>
      <c r="AM24" s="14">
        <v>0.185</v>
      </c>
      <c r="AN24" s="14">
        <v>0.93400000000000005</v>
      </c>
      <c r="AO24" s="10" t="s">
        <v>59</v>
      </c>
    </row>
    <row r="25" spans="1:41" ht="84" x14ac:dyDescent="0.3">
      <c r="A25" s="18">
        <v>26</v>
      </c>
      <c r="B25" s="37" t="s">
        <v>257</v>
      </c>
      <c r="C25" s="38" t="s">
        <v>258</v>
      </c>
      <c r="D25" s="34" t="s">
        <v>250</v>
      </c>
      <c r="E25" s="34">
        <v>1887</v>
      </c>
      <c r="F25" s="34">
        <v>2021</v>
      </c>
      <c r="G25" s="34" t="s">
        <v>63</v>
      </c>
      <c r="H25" s="34" t="s">
        <v>64</v>
      </c>
      <c r="I25" s="22" t="s">
        <v>251</v>
      </c>
      <c r="J25" s="34" t="s">
        <v>259</v>
      </c>
      <c r="K25" s="21"/>
      <c r="L25" s="34" t="s">
        <v>97</v>
      </c>
      <c r="M25" s="34" t="s">
        <v>253</v>
      </c>
      <c r="N25" s="34" t="s">
        <v>51</v>
      </c>
      <c r="O25" s="34" t="s">
        <v>52</v>
      </c>
      <c r="P25" s="34" t="s">
        <v>51</v>
      </c>
      <c r="Q25" s="34" t="s">
        <v>52</v>
      </c>
      <c r="R25" s="34" t="s">
        <v>52</v>
      </c>
      <c r="S25" s="34">
        <v>1</v>
      </c>
      <c r="T25" s="34" t="s">
        <v>84</v>
      </c>
      <c r="U25" s="34" t="s">
        <v>9</v>
      </c>
      <c r="V25" s="34">
        <v>0</v>
      </c>
      <c r="W25" s="34">
        <v>1</v>
      </c>
      <c r="X25" s="34" t="s">
        <v>55</v>
      </c>
      <c r="Y25" s="34" t="s">
        <v>56</v>
      </c>
      <c r="Z25" s="34">
        <v>1</v>
      </c>
      <c r="AA25" s="39">
        <v>1</v>
      </c>
      <c r="AB25" s="35" t="s">
        <v>51</v>
      </c>
      <c r="AC25" s="35" t="s">
        <v>51</v>
      </c>
      <c r="AD25" s="35" t="s">
        <v>51</v>
      </c>
      <c r="AE25" s="35" t="s">
        <v>51</v>
      </c>
      <c r="AF25" s="10" t="s">
        <v>254</v>
      </c>
      <c r="AG25" s="10" t="s">
        <v>72</v>
      </c>
      <c r="AH25" s="10">
        <v>232</v>
      </c>
      <c r="AI25" s="10" t="s">
        <v>255</v>
      </c>
      <c r="AJ25" s="10" t="s">
        <v>256</v>
      </c>
      <c r="AK25" s="10">
        <v>234</v>
      </c>
      <c r="AL25" s="11">
        <v>1653</v>
      </c>
      <c r="AM25" s="14">
        <v>0.185</v>
      </c>
      <c r="AN25" s="14">
        <v>0.93400000000000005</v>
      </c>
      <c r="AO25" s="10" t="s">
        <v>59</v>
      </c>
    </row>
    <row r="26" spans="1:41" ht="272" x14ac:dyDescent="0.3">
      <c r="A26" s="18">
        <v>26</v>
      </c>
      <c r="B26" s="32" t="s">
        <v>260</v>
      </c>
      <c r="C26" s="33" t="s">
        <v>261</v>
      </c>
      <c r="D26" s="34" t="s">
        <v>262</v>
      </c>
      <c r="E26" s="34">
        <v>133</v>
      </c>
      <c r="F26" s="34">
        <v>2020</v>
      </c>
      <c r="G26" s="34" t="s">
        <v>162</v>
      </c>
      <c r="H26" s="34" t="s">
        <v>64</v>
      </c>
      <c r="I26" s="22" t="s">
        <v>263</v>
      </c>
      <c r="J26" s="34" t="s">
        <v>264</v>
      </c>
      <c r="K26" s="21" t="s">
        <v>265</v>
      </c>
      <c r="L26" s="34" t="s">
        <v>97</v>
      </c>
      <c r="M26" s="34" t="s">
        <v>266</v>
      </c>
      <c r="N26" s="34" t="s">
        <v>52</v>
      </c>
      <c r="O26" s="34" t="s">
        <v>51</v>
      </c>
      <c r="P26" s="34" t="s">
        <v>51</v>
      </c>
      <c r="Q26" s="34" t="s">
        <v>52</v>
      </c>
      <c r="R26" s="34" t="s">
        <v>52</v>
      </c>
      <c r="S26" s="34">
        <v>1</v>
      </c>
      <c r="T26" s="34" t="s">
        <v>70</v>
      </c>
      <c r="U26" s="34" t="s">
        <v>9</v>
      </c>
      <c r="V26" s="34">
        <v>0</v>
      </c>
      <c r="W26" s="34">
        <v>1</v>
      </c>
      <c r="X26" s="34" t="s">
        <v>55</v>
      </c>
      <c r="Y26" s="34" t="s">
        <v>56</v>
      </c>
      <c r="Z26" s="34">
        <v>1</v>
      </c>
      <c r="AA26" s="39">
        <v>1</v>
      </c>
      <c r="AB26" s="35" t="s">
        <v>51</v>
      </c>
      <c r="AC26" s="35" t="s">
        <v>51</v>
      </c>
      <c r="AD26" s="35" t="s">
        <v>51</v>
      </c>
      <c r="AE26" s="35" t="s">
        <v>51</v>
      </c>
      <c r="AF26" s="40" t="s">
        <v>267</v>
      </c>
      <c r="AG26" s="40" t="s">
        <v>58</v>
      </c>
      <c r="AH26" s="40">
        <v>11</v>
      </c>
      <c r="AI26" s="40">
        <v>46</v>
      </c>
      <c r="AJ26" s="40" t="s">
        <v>45</v>
      </c>
      <c r="AK26" s="40">
        <v>73</v>
      </c>
      <c r="AL26" s="40">
        <v>60</v>
      </c>
      <c r="AM26" s="40" t="s">
        <v>268</v>
      </c>
      <c r="AN26" s="40" t="s">
        <v>269</v>
      </c>
      <c r="AO26" s="40" t="s">
        <v>270</v>
      </c>
    </row>
    <row r="27" spans="1:41" ht="70" x14ac:dyDescent="0.3">
      <c r="A27" s="18">
        <v>27</v>
      </c>
      <c r="B27" s="26" t="s">
        <v>271</v>
      </c>
      <c r="C27" s="27" t="s">
        <v>272</v>
      </c>
      <c r="D27" s="28" t="s">
        <v>273</v>
      </c>
      <c r="E27" s="28">
        <v>210</v>
      </c>
      <c r="F27" s="28">
        <v>2020</v>
      </c>
      <c r="G27" s="28" t="s">
        <v>63</v>
      </c>
      <c r="H27" s="28" t="s">
        <v>64</v>
      </c>
      <c r="I27" s="22" t="s">
        <v>274</v>
      </c>
      <c r="J27" s="28" t="s">
        <v>275</v>
      </c>
      <c r="K27" s="21" t="s">
        <v>276</v>
      </c>
      <c r="L27" s="28" t="s">
        <v>203</v>
      </c>
      <c r="M27" s="28" t="s">
        <v>181</v>
      </c>
      <c r="N27" s="28" t="s">
        <v>51</v>
      </c>
      <c r="O27" s="28" t="s">
        <v>98</v>
      </c>
      <c r="P27" s="28" t="s">
        <v>52</v>
      </c>
      <c r="Q27" s="28" t="s">
        <v>52</v>
      </c>
      <c r="R27" s="28" t="s">
        <v>52</v>
      </c>
      <c r="S27" s="28">
        <v>1</v>
      </c>
      <c r="T27" s="28" t="s">
        <v>70</v>
      </c>
      <c r="U27" s="28" t="s">
        <v>9</v>
      </c>
      <c r="V27" s="28">
        <v>0</v>
      </c>
      <c r="W27" s="28">
        <v>1</v>
      </c>
      <c r="X27" s="28" t="s">
        <v>182</v>
      </c>
      <c r="Y27" s="28" t="s">
        <v>183</v>
      </c>
      <c r="Z27" s="28">
        <v>1</v>
      </c>
      <c r="AA27" s="39">
        <v>1</v>
      </c>
      <c r="AB27" s="30" t="s">
        <v>51</v>
      </c>
      <c r="AC27" s="30" t="s">
        <v>51</v>
      </c>
      <c r="AD27" s="30" t="s">
        <v>52</v>
      </c>
      <c r="AE27" s="30" t="s">
        <v>52</v>
      </c>
      <c r="AF27" s="10" t="s">
        <v>277</v>
      </c>
      <c r="AG27" s="10" t="s">
        <v>72</v>
      </c>
      <c r="AH27" s="10">
        <v>41</v>
      </c>
      <c r="AI27" s="10" t="s">
        <v>278</v>
      </c>
      <c r="AJ27" s="10" t="s">
        <v>206</v>
      </c>
      <c r="AK27" s="10">
        <v>14</v>
      </c>
      <c r="AL27" s="10">
        <v>196</v>
      </c>
      <c r="AM27" s="14">
        <v>0.71399999999999997</v>
      </c>
      <c r="AN27" s="14">
        <v>0.80100000000000005</v>
      </c>
      <c r="AO27" s="10" t="s">
        <v>279</v>
      </c>
    </row>
    <row r="28" spans="1:41" ht="70" x14ac:dyDescent="0.3">
      <c r="A28" s="18">
        <v>28</v>
      </c>
      <c r="B28" s="26">
        <v>28</v>
      </c>
      <c r="C28" s="27" t="s">
        <v>280</v>
      </c>
      <c r="D28" s="28" t="s">
        <v>281</v>
      </c>
      <c r="E28" s="28">
        <v>109</v>
      </c>
      <c r="F28" s="28">
        <v>2021</v>
      </c>
      <c r="G28" s="28" t="s">
        <v>136</v>
      </c>
      <c r="H28" s="28" t="s">
        <v>64</v>
      </c>
      <c r="I28" s="22" t="s">
        <v>282</v>
      </c>
      <c r="J28" s="28" t="s">
        <v>283</v>
      </c>
      <c r="K28" s="21" t="s">
        <v>192</v>
      </c>
      <c r="L28" s="28" t="s">
        <v>284</v>
      </c>
      <c r="M28" s="28" t="s">
        <v>224</v>
      </c>
      <c r="N28" s="28" t="s">
        <v>52</v>
      </c>
      <c r="O28" s="28" t="s">
        <v>98</v>
      </c>
      <c r="P28" s="28" t="s">
        <v>52</v>
      </c>
      <c r="Q28" s="28" t="s">
        <v>52</v>
      </c>
      <c r="R28" s="28" t="s">
        <v>52</v>
      </c>
      <c r="S28" s="28">
        <v>1</v>
      </c>
      <c r="T28" s="28" t="s">
        <v>70</v>
      </c>
      <c r="U28" s="28" t="s">
        <v>9</v>
      </c>
      <c r="V28" s="28">
        <v>0</v>
      </c>
      <c r="W28" s="28">
        <v>1</v>
      </c>
      <c r="X28" s="28" t="s">
        <v>182</v>
      </c>
      <c r="Y28" s="28" t="s">
        <v>183</v>
      </c>
      <c r="Z28" s="28">
        <v>1</v>
      </c>
      <c r="AA28" s="39">
        <v>1</v>
      </c>
      <c r="AB28" s="30" t="s">
        <v>51</v>
      </c>
      <c r="AC28" s="30" t="s">
        <v>51</v>
      </c>
      <c r="AD28" s="30" t="s">
        <v>52</v>
      </c>
      <c r="AE28" s="30" t="s">
        <v>52</v>
      </c>
      <c r="AF28" s="10" t="s">
        <v>285</v>
      </c>
      <c r="AG28" s="10" t="s">
        <v>72</v>
      </c>
      <c r="AH28" s="10">
        <v>33</v>
      </c>
      <c r="AI28" s="10">
        <v>52</v>
      </c>
      <c r="AJ28" s="10" t="s">
        <v>45</v>
      </c>
      <c r="AK28" s="10">
        <v>18</v>
      </c>
      <c r="AL28" s="10">
        <v>91</v>
      </c>
      <c r="AM28" s="10" t="s">
        <v>286</v>
      </c>
      <c r="AN28" s="10" t="s">
        <v>287</v>
      </c>
      <c r="AO28" s="10" t="s">
        <v>59</v>
      </c>
    </row>
    <row r="29" spans="1:41" ht="272" x14ac:dyDescent="0.3">
      <c r="A29" s="18">
        <v>29</v>
      </c>
      <c r="B29" s="32" t="s">
        <v>288</v>
      </c>
      <c r="C29" s="33" t="s">
        <v>289</v>
      </c>
      <c r="D29" s="34" t="s">
        <v>262</v>
      </c>
      <c r="E29" s="34">
        <v>133</v>
      </c>
      <c r="F29" s="34">
        <v>2020</v>
      </c>
      <c r="G29" s="34" t="s">
        <v>162</v>
      </c>
      <c r="H29" s="34" t="s">
        <v>44</v>
      </c>
      <c r="I29" s="22" t="s">
        <v>263</v>
      </c>
      <c r="J29" s="34" t="s">
        <v>290</v>
      </c>
      <c r="K29" s="21" t="s">
        <v>265</v>
      </c>
      <c r="L29" s="34" t="s">
        <v>97</v>
      </c>
      <c r="M29" s="34" t="s">
        <v>266</v>
      </c>
      <c r="N29" s="34" t="s">
        <v>52</v>
      </c>
      <c r="O29" s="34" t="s">
        <v>51</v>
      </c>
      <c r="P29" s="34" t="s">
        <v>51</v>
      </c>
      <c r="Q29" s="34" t="s">
        <v>52</v>
      </c>
      <c r="R29" s="34" t="s">
        <v>52</v>
      </c>
      <c r="S29" s="34">
        <v>0</v>
      </c>
      <c r="T29" s="34" t="s">
        <v>70</v>
      </c>
      <c r="U29" s="34" t="s">
        <v>9</v>
      </c>
      <c r="V29" s="34">
        <v>1</v>
      </c>
      <c r="W29" s="34">
        <v>0</v>
      </c>
      <c r="X29" s="34" t="s">
        <v>55</v>
      </c>
      <c r="Y29" s="34" t="s">
        <v>56</v>
      </c>
      <c r="Z29" s="34">
        <v>1</v>
      </c>
      <c r="AA29" s="39">
        <v>1</v>
      </c>
      <c r="AB29" s="35" t="s">
        <v>51</v>
      </c>
      <c r="AC29" s="35" t="s">
        <v>51</v>
      </c>
      <c r="AD29" s="35" t="s">
        <v>51</v>
      </c>
      <c r="AE29" s="35" t="s">
        <v>51</v>
      </c>
      <c r="AF29" s="40" t="s">
        <v>267</v>
      </c>
      <c r="AG29" s="40" t="s">
        <v>58</v>
      </c>
      <c r="AH29" s="40">
        <v>11</v>
      </c>
      <c r="AI29" s="40">
        <v>46</v>
      </c>
      <c r="AJ29" s="40" t="s">
        <v>45</v>
      </c>
      <c r="AK29" s="40">
        <v>73</v>
      </c>
      <c r="AL29" s="40">
        <v>60</v>
      </c>
      <c r="AM29" s="40" t="s">
        <v>268</v>
      </c>
      <c r="AN29" s="40" t="s">
        <v>269</v>
      </c>
      <c r="AO29" s="40" t="s">
        <v>270</v>
      </c>
    </row>
    <row r="30" spans="1:41" ht="155" x14ac:dyDescent="0.3">
      <c r="A30" s="18">
        <v>32</v>
      </c>
      <c r="B30" s="32">
        <v>32</v>
      </c>
      <c r="C30" s="33" t="s">
        <v>291</v>
      </c>
      <c r="D30" s="34" t="s">
        <v>292</v>
      </c>
      <c r="E30" s="34">
        <v>339</v>
      </c>
      <c r="F30" s="34">
        <v>2020</v>
      </c>
      <c r="G30" s="34" t="s">
        <v>293</v>
      </c>
      <c r="H30" s="34" t="s">
        <v>64</v>
      </c>
      <c r="I30" s="22" t="s">
        <v>294</v>
      </c>
      <c r="J30" s="34" t="s">
        <v>295</v>
      </c>
      <c r="K30" s="21" t="s">
        <v>192</v>
      </c>
      <c r="L30" s="34" t="s">
        <v>284</v>
      </c>
      <c r="M30" s="34" t="s">
        <v>83</v>
      </c>
      <c r="N30" s="34" t="s">
        <v>52</v>
      </c>
      <c r="O30" s="34" t="s">
        <v>52</v>
      </c>
      <c r="P30" s="34" t="s">
        <v>52</v>
      </c>
      <c r="Q30" s="34" t="s">
        <v>52</v>
      </c>
      <c r="R30" s="34" t="s">
        <v>52</v>
      </c>
      <c r="S30" s="34">
        <v>1</v>
      </c>
      <c r="T30" s="34" t="s">
        <v>84</v>
      </c>
      <c r="U30" s="34" t="s">
        <v>9</v>
      </c>
      <c r="V30" s="34">
        <v>0</v>
      </c>
      <c r="W30" s="34">
        <v>1</v>
      </c>
      <c r="X30" s="34" t="s">
        <v>182</v>
      </c>
      <c r="Y30" s="34" t="s">
        <v>296</v>
      </c>
      <c r="Z30" s="34">
        <v>1</v>
      </c>
      <c r="AA30" s="22">
        <v>1</v>
      </c>
      <c r="AB30" s="35" t="s">
        <v>51</v>
      </c>
      <c r="AC30" s="35" t="s">
        <v>51</v>
      </c>
      <c r="AD30" s="35" t="s">
        <v>52</v>
      </c>
      <c r="AE30" s="35" t="s">
        <v>52</v>
      </c>
      <c r="AF30" s="10" t="s">
        <v>297</v>
      </c>
      <c r="AG30" s="10" t="s">
        <v>72</v>
      </c>
      <c r="AH30" s="10">
        <v>9</v>
      </c>
      <c r="AI30" s="10">
        <v>54.25</v>
      </c>
      <c r="AJ30" s="10">
        <v>9.84</v>
      </c>
      <c r="AK30" s="10">
        <v>250</v>
      </c>
      <c r="AL30" s="10">
        <v>89</v>
      </c>
      <c r="AM30" s="10" t="s">
        <v>45</v>
      </c>
      <c r="AN30" s="10" t="s">
        <v>45</v>
      </c>
      <c r="AO30" s="10" t="s">
        <v>59</v>
      </c>
    </row>
    <row r="31" spans="1:41" ht="121" x14ac:dyDescent="0.3">
      <c r="A31" s="18">
        <v>35</v>
      </c>
      <c r="B31" s="26">
        <v>35</v>
      </c>
      <c r="C31" s="27" t="s">
        <v>298</v>
      </c>
      <c r="D31" s="28" t="s">
        <v>299</v>
      </c>
      <c r="E31" s="28">
        <v>155</v>
      </c>
      <c r="F31" s="28">
        <v>2018</v>
      </c>
      <c r="G31" s="28" t="s">
        <v>130</v>
      </c>
      <c r="H31" s="28" t="s">
        <v>44</v>
      </c>
      <c r="I31" s="22" t="s">
        <v>300</v>
      </c>
      <c r="J31" s="28" t="s">
        <v>301</v>
      </c>
      <c r="K31" s="21" t="s">
        <v>302</v>
      </c>
      <c r="L31" s="28" t="s">
        <v>97</v>
      </c>
      <c r="M31" s="28" t="s">
        <v>266</v>
      </c>
      <c r="N31" s="28" t="s">
        <v>51</v>
      </c>
      <c r="O31" s="28" t="s">
        <v>51</v>
      </c>
      <c r="P31" s="28" t="s">
        <v>51</v>
      </c>
      <c r="Q31" s="28" t="s">
        <v>52</v>
      </c>
      <c r="R31" s="28" t="s">
        <v>52</v>
      </c>
      <c r="S31" s="28">
        <v>1</v>
      </c>
      <c r="T31" s="28" t="s">
        <v>70</v>
      </c>
      <c r="U31" s="28" t="s">
        <v>54</v>
      </c>
      <c r="V31" s="28">
        <v>1</v>
      </c>
      <c r="W31" s="28">
        <v>0</v>
      </c>
      <c r="X31" s="28" t="s">
        <v>55</v>
      </c>
      <c r="Y31" s="28" t="s">
        <v>56</v>
      </c>
      <c r="Z31" s="28">
        <v>1</v>
      </c>
      <c r="AA31" s="39">
        <v>1</v>
      </c>
      <c r="AB31" s="30" t="s">
        <v>51</v>
      </c>
      <c r="AC31" s="30" t="s">
        <v>51</v>
      </c>
      <c r="AD31" s="30" t="s">
        <v>51</v>
      </c>
      <c r="AE31" s="30" t="s">
        <v>51</v>
      </c>
      <c r="AF31" s="12" t="s">
        <v>303</v>
      </c>
      <c r="AG31" s="12" t="s">
        <v>58</v>
      </c>
      <c r="AH31" s="12">
        <v>21</v>
      </c>
      <c r="AI31" s="12">
        <v>48</v>
      </c>
      <c r="AJ31" s="12" t="s">
        <v>45</v>
      </c>
      <c r="AK31" s="12">
        <v>60</v>
      </c>
      <c r="AL31" s="12">
        <v>95</v>
      </c>
      <c r="AM31" s="15">
        <v>0.8</v>
      </c>
      <c r="AN31" s="15">
        <v>0.82899999999999996</v>
      </c>
      <c r="AO31" s="12" t="s">
        <v>304</v>
      </c>
    </row>
    <row r="32" spans="1:41" ht="140" x14ac:dyDescent="0.3">
      <c r="A32" s="18">
        <v>36</v>
      </c>
      <c r="B32" s="32">
        <v>36</v>
      </c>
      <c r="C32" s="33" t="s">
        <v>305</v>
      </c>
      <c r="D32" s="34" t="s">
        <v>306</v>
      </c>
      <c r="E32" s="34">
        <v>181399</v>
      </c>
      <c r="F32" s="34">
        <v>2018</v>
      </c>
      <c r="G32" s="34" t="s">
        <v>43</v>
      </c>
      <c r="H32" s="34" t="s">
        <v>44</v>
      </c>
      <c r="I32" s="22" t="s">
        <v>307</v>
      </c>
      <c r="J32" s="34" t="s">
        <v>308</v>
      </c>
      <c r="K32" s="21" t="s">
        <v>309</v>
      </c>
      <c r="L32" s="34" t="s">
        <v>310</v>
      </c>
      <c r="M32" s="34" t="s">
        <v>122</v>
      </c>
      <c r="N32" s="34" t="s">
        <v>51</v>
      </c>
      <c r="O32" s="34" t="s">
        <v>51</v>
      </c>
      <c r="P32" s="34" t="s">
        <v>52</v>
      </c>
      <c r="Q32" s="34" t="s">
        <v>51</v>
      </c>
      <c r="R32" s="34" t="s">
        <v>52</v>
      </c>
      <c r="S32" s="34">
        <v>1</v>
      </c>
      <c r="T32" s="34" t="s">
        <v>70</v>
      </c>
      <c r="U32" s="34" t="s">
        <v>9</v>
      </c>
      <c r="V32" s="34">
        <v>1</v>
      </c>
      <c r="W32" s="34">
        <v>0</v>
      </c>
      <c r="X32" s="34" t="s">
        <v>55</v>
      </c>
      <c r="Y32" s="34" t="s">
        <v>56</v>
      </c>
      <c r="Z32" s="34">
        <v>1</v>
      </c>
      <c r="AA32" s="39">
        <v>1</v>
      </c>
      <c r="AB32" s="35" t="s">
        <v>51</v>
      </c>
      <c r="AC32" s="35" t="s">
        <v>51</v>
      </c>
      <c r="AD32" s="35" t="s">
        <v>51</v>
      </c>
      <c r="AE32" s="35" t="s">
        <v>51</v>
      </c>
      <c r="AF32" s="6" t="s">
        <v>311</v>
      </c>
      <c r="AG32" s="6" t="s">
        <v>58</v>
      </c>
      <c r="AH32" s="7">
        <v>14081</v>
      </c>
      <c r="AI32" s="6" t="s">
        <v>312</v>
      </c>
      <c r="AJ32" s="6" t="s">
        <v>192</v>
      </c>
      <c r="AK32" s="6" t="s">
        <v>45</v>
      </c>
      <c r="AL32" s="6"/>
      <c r="AM32" s="6" t="s">
        <v>45</v>
      </c>
      <c r="AN32" s="6" t="s">
        <v>45</v>
      </c>
      <c r="AO32" s="6" t="s">
        <v>313</v>
      </c>
    </row>
    <row r="33" spans="1:41" ht="155" x14ac:dyDescent="0.3">
      <c r="A33" s="18">
        <v>37</v>
      </c>
      <c r="B33" s="26">
        <v>37</v>
      </c>
      <c r="C33" s="27" t="s">
        <v>314</v>
      </c>
      <c r="D33" s="28" t="s">
        <v>315</v>
      </c>
      <c r="E33" s="28">
        <v>146</v>
      </c>
      <c r="F33" s="28">
        <v>2018</v>
      </c>
      <c r="G33" s="28" t="s">
        <v>130</v>
      </c>
      <c r="H33" s="28" t="s">
        <v>44</v>
      </c>
      <c r="I33" s="22" t="s">
        <v>316</v>
      </c>
      <c r="J33" s="28" t="s">
        <v>317</v>
      </c>
      <c r="K33" s="21" t="s">
        <v>318</v>
      </c>
      <c r="L33" s="28" t="s">
        <v>284</v>
      </c>
      <c r="M33" s="28" t="s">
        <v>319</v>
      </c>
      <c r="N33" s="28" t="s">
        <v>51</v>
      </c>
      <c r="O33" s="28" t="s">
        <v>51</v>
      </c>
      <c r="P33" s="28" t="s">
        <v>52</v>
      </c>
      <c r="Q33" s="28" t="s">
        <v>52</v>
      </c>
      <c r="R33" s="28" t="s">
        <v>52</v>
      </c>
      <c r="S33" s="28">
        <v>1</v>
      </c>
      <c r="T33" s="28" t="s">
        <v>70</v>
      </c>
      <c r="U33" s="28" t="s">
        <v>9</v>
      </c>
      <c r="V33" s="28">
        <v>1</v>
      </c>
      <c r="W33" s="28">
        <v>0</v>
      </c>
      <c r="X33" s="28" t="s">
        <v>182</v>
      </c>
      <c r="Y33" s="28" t="s">
        <v>183</v>
      </c>
      <c r="Z33" s="28">
        <v>1</v>
      </c>
      <c r="AA33" s="39">
        <v>1</v>
      </c>
      <c r="AB33" s="30" t="s">
        <v>51</v>
      </c>
      <c r="AC33" s="30" t="s">
        <v>51</v>
      </c>
      <c r="AD33" s="30" t="s">
        <v>52</v>
      </c>
      <c r="AE33" s="30" t="s">
        <v>52</v>
      </c>
      <c r="AF33" s="5" t="s">
        <v>320</v>
      </c>
      <c r="AG33" s="5" t="s">
        <v>72</v>
      </c>
      <c r="AH33" s="5">
        <v>62</v>
      </c>
      <c r="AI33" s="5">
        <v>49.4</v>
      </c>
      <c r="AJ33" s="5">
        <v>10.199999999999999</v>
      </c>
      <c r="AK33" s="5">
        <v>90</v>
      </c>
      <c r="AL33" s="5">
        <v>56</v>
      </c>
      <c r="AM33" s="9">
        <v>1.7999999999999999E-2</v>
      </c>
      <c r="AN33" s="9">
        <v>0.98799999999999999</v>
      </c>
      <c r="AO33" s="5" t="s">
        <v>321</v>
      </c>
    </row>
    <row r="34" spans="1:41" ht="121" x14ac:dyDescent="0.3">
      <c r="A34" s="18">
        <v>39</v>
      </c>
      <c r="B34" s="26">
        <v>39</v>
      </c>
      <c r="C34" s="27" t="s">
        <v>322</v>
      </c>
      <c r="D34" s="28" t="s">
        <v>323</v>
      </c>
      <c r="E34" s="41">
        <v>12747</v>
      </c>
      <c r="F34" s="28">
        <v>2017</v>
      </c>
      <c r="G34" s="28" t="s">
        <v>136</v>
      </c>
      <c r="H34" s="28" t="s">
        <v>44</v>
      </c>
      <c r="I34" s="42" t="s">
        <v>324</v>
      </c>
      <c r="J34" s="28" t="s">
        <v>325</v>
      </c>
      <c r="K34" s="42" t="s">
        <v>326</v>
      </c>
      <c r="L34" s="28" t="s">
        <v>327</v>
      </c>
      <c r="M34" s="28" t="s">
        <v>122</v>
      </c>
      <c r="N34" s="28" t="s">
        <v>51</v>
      </c>
      <c r="O34" s="28" t="s">
        <v>51</v>
      </c>
      <c r="P34" s="28" t="s">
        <v>51</v>
      </c>
      <c r="Q34" s="28" t="s">
        <v>52</v>
      </c>
      <c r="R34" s="28" t="s">
        <v>52</v>
      </c>
      <c r="S34" s="28">
        <v>1</v>
      </c>
      <c r="T34" s="28" t="s">
        <v>70</v>
      </c>
      <c r="U34" s="28" t="s">
        <v>54</v>
      </c>
      <c r="V34" s="28">
        <v>1</v>
      </c>
      <c r="W34" s="28">
        <v>0</v>
      </c>
      <c r="X34" s="28" t="s">
        <v>55</v>
      </c>
      <c r="Y34" s="28" t="s">
        <v>56</v>
      </c>
      <c r="Z34" s="28">
        <v>1</v>
      </c>
      <c r="AA34" s="39">
        <v>1</v>
      </c>
      <c r="AB34" s="30" t="s">
        <v>51</v>
      </c>
      <c r="AC34" s="30" t="s">
        <v>51</v>
      </c>
      <c r="AD34" s="30" t="s">
        <v>51</v>
      </c>
      <c r="AE34" s="30" t="s">
        <v>51</v>
      </c>
      <c r="AF34" s="5" t="s">
        <v>328</v>
      </c>
      <c r="AG34" s="5" t="s">
        <v>58</v>
      </c>
      <c r="AH34" s="5">
        <v>1361</v>
      </c>
      <c r="AI34" s="5">
        <v>58.5</v>
      </c>
      <c r="AJ34" s="5">
        <v>14.8</v>
      </c>
      <c r="AK34" s="5">
        <v>3701</v>
      </c>
      <c r="AL34" s="5">
        <v>9046</v>
      </c>
      <c r="AM34" s="9" t="s">
        <v>59</v>
      </c>
      <c r="AN34" s="9" t="s">
        <v>59</v>
      </c>
      <c r="AO34" s="5"/>
    </row>
    <row r="35" spans="1:41" ht="223" x14ac:dyDescent="0.3">
      <c r="A35" s="18">
        <v>40</v>
      </c>
      <c r="B35" s="32">
        <v>40</v>
      </c>
      <c r="C35" s="33" t="s">
        <v>329</v>
      </c>
      <c r="D35" s="34" t="s">
        <v>330</v>
      </c>
      <c r="E35" s="34">
        <v>1050</v>
      </c>
      <c r="F35" s="34">
        <v>2013</v>
      </c>
      <c r="G35" s="34" t="s">
        <v>136</v>
      </c>
      <c r="H35" s="34" t="s">
        <v>44</v>
      </c>
      <c r="I35" s="22" t="s">
        <v>331</v>
      </c>
      <c r="J35" s="34" t="s">
        <v>332</v>
      </c>
      <c r="K35" s="21" t="s">
        <v>333</v>
      </c>
      <c r="L35" s="34" t="s">
        <v>334</v>
      </c>
      <c r="M35" s="34" t="s">
        <v>335</v>
      </c>
      <c r="N35" s="34" t="s">
        <v>51</v>
      </c>
      <c r="O35" s="34" t="s">
        <v>52</v>
      </c>
      <c r="P35" s="34" t="s">
        <v>51</v>
      </c>
      <c r="Q35" s="34" t="s">
        <v>51</v>
      </c>
      <c r="R35" s="34" t="s">
        <v>52</v>
      </c>
      <c r="S35" s="34">
        <v>1</v>
      </c>
      <c r="T35" s="34" t="s">
        <v>70</v>
      </c>
      <c r="U35" s="34" t="s">
        <v>9</v>
      </c>
      <c r="V35" s="34">
        <v>1</v>
      </c>
      <c r="W35" s="34">
        <v>0</v>
      </c>
      <c r="X35" s="34" t="s">
        <v>55</v>
      </c>
      <c r="Y35" s="34" t="s">
        <v>56</v>
      </c>
      <c r="Z35" s="34">
        <v>1</v>
      </c>
      <c r="AA35" s="39">
        <v>1</v>
      </c>
      <c r="AB35" s="35" t="s">
        <v>51</v>
      </c>
      <c r="AC35" s="35" t="s">
        <v>51</v>
      </c>
      <c r="AD35" s="35" t="s">
        <v>51</v>
      </c>
      <c r="AE35" s="35" t="s">
        <v>51</v>
      </c>
      <c r="AF35" s="6" t="s">
        <v>336</v>
      </c>
      <c r="AG35" s="6" t="s">
        <v>58</v>
      </c>
      <c r="AH35" s="6">
        <v>126</v>
      </c>
      <c r="AI35" s="6">
        <v>54</v>
      </c>
      <c r="AJ35" s="6">
        <v>13.8</v>
      </c>
      <c r="AK35" s="6">
        <v>355</v>
      </c>
      <c r="AL35" s="6">
        <v>695</v>
      </c>
      <c r="AM35" s="16">
        <v>0.84</v>
      </c>
      <c r="AN35" s="16">
        <v>0.55000000000000004</v>
      </c>
      <c r="AO35" s="6" t="s">
        <v>337</v>
      </c>
    </row>
  </sheetData>
  <conditionalFormatting sqref="B2:H2 B4:H4 J2:AE2 J4:AE4 B3:AE3 B5:AE35">
    <cfRule type="containsText" dxfId="7" priority="3" operator="containsText" text="UNCLEAR">
      <formula>NOT(ISERROR(SEARCH("UNCLEAR",B2)))</formula>
    </cfRule>
  </conditionalFormatting>
  <conditionalFormatting sqref="B2:H2 B4:H4 J2:AE2 J4:AE4 B3:AE3 B5:AE35">
    <cfRule type="beginsWith" dxfId="6" priority="2" operator="beginsWith" text="LOW">
      <formula>LEFT(B2,LEN("LOW"))="LOW"</formula>
    </cfRule>
    <cfRule type="beginsWith" dxfId="5" priority="6" operator="beginsWith" text="HIGH">
      <formula>LEFT(B2,LEN("HIGH"))="HIGH"</formula>
    </cfRule>
  </conditionalFormatting>
  <conditionalFormatting sqref="R31">
    <cfRule type="containsText" dxfId="4" priority="7" operator="containsText" text="HIGH">
      <formula>NOT(ISERROR(SEARCH("HIGH",R31)))</formula>
    </cfRule>
    <cfRule type="containsText" dxfId="3" priority="8" operator="containsText" text="HIGH">
      <formula>NOT(ISERROR(SEARCH("HIGH",R31)))</formula>
    </cfRule>
  </conditionalFormatting>
  <conditionalFormatting sqref="S1:S35">
    <cfRule type="containsText" dxfId="2" priority="4" stopIfTrue="1" operator="containsText" text="0">
      <formula>NOT(ISERROR(SEARCH("0",S1)))</formula>
    </cfRule>
  </conditionalFormatting>
  <conditionalFormatting sqref="Z1:Z35">
    <cfRule type="containsText" dxfId="1" priority="5" operator="containsText" text="0">
      <formula>NOT(ISERROR(SEARCH("0",Z1)))</formula>
    </cfRule>
  </conditionalFormatting>
  <conditionalFormatting sqref="AA1:AA35">
    <cfRule type="beginsWith" dxfId="0" priority="1" operator="beginsWith" text="0">
      <formula>LEFT(AA1,LEN("0"))="0"</formula>
    </cfRule>
  </conditionalFormatting>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meta_analysis_Index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Babafemi coker</dc:creator>
  <cp:lastModifiedBy>Babafemi coker</cp:lastModifiedBy>
  <dcterms:created xsi:type="dcterms:W3CDTF">2026-07-26T22:41:50Z</dcterms:created>
  <dcterms:modified xsi:type="dcterms:W3CDTF">2026-08-11T14:46:54Z</dcterms:modified>
</cp:coreProperties>
</file>